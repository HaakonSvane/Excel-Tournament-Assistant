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akonsvane/Documents/Smash Turneringer/Project/"/>
    </mc:Choice>
  </mc:AlternateContent>
  <xr:revisionPtr revIDLastSave="0" documentId="13_ncr:1_{BCE09501-7E50-CE40-98EA-1F06511FDF31}" xr6:coauthVersionLast="47" xr6:coauthVersionMax="47" xr10:uidLastSave="{00000000-0000-0000-0000-000000000000}"/>
  <bookViews>
    <workbookView xWindow="0" yWindow="500" windowWidth="38400" windowHeight="19660" activeTab="1" xr2:uid="{530999BA-CAA7-FD49-98DE-C2B5C8429804}"/>
  </bookViews>
  <sheets>
    <sheet name="Groupstage" sheetId="1" r:id="rId1"/>
    <sheet name="Mainstage" sheetId="2" r:id="rId2"/>
    <sheet name="Preferences" sheetId="4" r:id="rId3"/>
    <sheet name="TestSheet" sheetId="3" r:id="rId4"/>
  </sheets>
  <functionGroups builtInGroupCount="19"/>
  <definedNames>
    <definedName name="AdjustedStandings">Mainstage!$G$3:$N$9</definedName>
    <definedName name="BoolOptions">Preferences!$K$3:$Q$13</definedName>
    <definedName name="ColorOptions">Preferences!$D$3:$I$13</definedName>
    <definedName name="Parts">Groupstage!$B$3:$B$8</definedName>
    <definedName name="Points">Groupstage!$G$3:$T$9</definedName>
    <definedName name="Standings">Groupstage!$G$12:$P$18</definedName>
    <definedName name="Tiebreaker1">Mainstage!$S$4:$S$5</definedName>
    <definedName name="Tiebreaker2">Mainstage!$S$7:$S$8</definedName>
    <definedName name="ValueOptions">Preferences!$R$3:$V$13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9" i="2" l="1"/>
  <c r="M8" i="2"/>
  <c r="I9" i="2"/>
  <c r="I8" i="2"/>
  <c r="M7" i="2"/>
  <c r="M6" i="2"/>
  <c r="I7" i="2"/>
  <c r="I6" i="2"/>
  <c r="P8" i="1"/>
  <c r="Q7" i="1" s="1"/>
  <c r="O8" i="1"/>
  <c r="R7" i="1" s="1"/>
  <c r="N9" i="1"/>
  <c r="S6" i="1" s="1"/>
  <c r="M9" i="1"/>
  <c r="T6" i="1" s="1"/>
  <c r="J5" i="1"/>
  <c r="K4" i="1" s="1"/>
  <c r="I5" i="1"/>
  <c r="L4" i="1" s="1"/>
  <c r="T8" i="1"/>
  <c r="R9" i="1"/>
  <c r="S8" i="1" s="1"/>
  <c r="Q9" i="1"/>
  <c r="P5" i="1"/>
  <c r="K7" i="1" s="1"/>
  <c r="O5" i="1"/>
  <c r="L7" i="1" s="1"/>
  <c r="J6" i="1"/>
  <c r="M4" i="1" s="1"/>
  <c r="I6" i="1"/>
  <c r="N4" i="1" s="1"/>
  <c r="L9" i="1"/>
  <c r="T5" i="1"/>
  <c r="K9" i="1" s="1"/>
  <c r="S5" i="1"/>
  <c r="R6" i="1"/>
  <c r="M8" i="1" s="1"/>
  <c r="Q6" i="1"/>
  <c r="N8" i="1" s="1"/>
  <c r="J7" i="1"/>
  <c r="O4" i="1" s="1"/>
  <c r="I7" i="1"/>
  <c r="L6" i="1"/>
  <c r="M5" i="1" s="1"/>
  <c r="K6" i="1"/>
  <c r="N5" i="1" s="1"/>
  <c r="T7" i="1"/>
  <c r="O9" i="1" s="1"/>
  <c r="S7" i="1"/>
  <c r="P9" i="1" s="1"/>
  <c r="J8" i="1"/>
  <c r="Q4" i="1" s="1"/>
  <c r="I8" i="1"/>
  <c r="N7" i="1"/>
  <c r="O6" i="1" s="1"/>
  <c r="M7" i="1"/>
  <c r="P6" i="1" s="1"/>
  <c r="R5" i="1"/>
  <c r="L8" i="1"/>
  <c r="Q5" i="1" s="1"/>
  <c r="K8" i="1"/>
  <c r="T4" i="1"/>
  <c r="J9" i="1"/>
  <c r="S4" i="1" s="1"/>
  <c r="I9" i="1"/>
  <c r="N4" i="3" a="1"/>
  <c r="N4" i="3" s="1"/>
  <c r="U7" i="1" l="1"/>
  <c r="U9" i="1"/>
  <c r="U6" i="1"/>
  <c r="U8" i="1"/>
  <c r="P4" i="1"/>
  <c r="R4" i="1"/>
  <c r="U4" i="1"/>
  <c r="U5" i="1"/>
  <c r="A1" i="2"/>
  <c r="M17" i="1" l="1"/>
  <c r="K15" i="1"/>
  <c r="I16" i="1"/>
  <c r="K16" i="1"/>
  <c r="K14" i="1"/>
  <c r="K18" i="1"/>
  <c r="M16" i="1"/>
  <c r="O16" i="1" a="1"/>
  <c r="O16" i="1" s="1"/>
  <c r="I17" i="1"/>
  <c r="O17" i="1" a="1"/>
  <c r="O17" i="1" s="1"/>
  <c r="I18" i="1"/>
  <c r="I14" i="1"/>
  <c r="I15" i="1"/>
  <c r="M14" i="1"/>
  <c r="K13" i="1"/>
  <c r="M13" i="1"/>
  <c r="M18" i="1"/>
  <c r="O13" i="1" a="1"/>
  <c r="O13" i="1" s="1"/>
  <c r="O15" i="1" a="1"/>
  <c r="O15" i="1" s="1"/>
  <c r="O18" i="1" a="1"/>
  <c r="O18" i="1" s="1"/>
  <c r="O14" i="1" a="1"/>
  <c r="O14" i="1" s="1"/>
  <c r="M15" i="1"/>
  <c r="K17" i="1"/>
  <c r="I13" i="1"/>
  <c r="H6" i="3"/>
  <c r="H7" i="3" s="1"/>
  <c r="I6" i="3"/>
  <c r="I7" i="3" s="1"/>
  <c r="J6" i="3"/>
  <c r="J7" i="3" s="1"/>
  <c r="K6" i="3"/>
  <c r="K7" i="3" s="1"/>
  <c r="L6" i="3"/>
  <c r="L7" i="3" s="1"/>
  <c r="G6" i="3"/>
  <c r="G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<sst xmlns="http://schemas.openxmlformats.org/spreadsheetml/2006/main" count="111" uniqueCount="53">
  <si>
    <t xml:space="preserve"> </t>
  </si>
  <si>
    <t>1.</t>
  </si>
  <si>
    <t>2.</t>
  </si>
  <si>
    <t>3.</t>
  </si>
  <si>
    <t>4.</t>
  </si>
  <si>
    <t>Standings:</t>
  </si>
  <si>
    <t>Round 1</t>
  </si>
  <si>
    <t>Round 2</t>
  </si>
  <si>
    <t>Round 3</t>
  </si>
  <si>
    <t>Colors:</t>
  </si>
  <si>
    <t>Error color</t>
  </si>
  <si>
    <t>Background color</t>
  </si>
  <si>
    <t>Pass color</t>
  </si>
  <si>
    <t>Fail color</t>
  </si>
  <si>
    <t>Booleans:</t>
  </si>
  <si>
    <t>Winner bracket advantage</t>
  </si>
  <si>
    <t>Values:</t>
  </si>
  <si>
    <t>Group stage games best of</t>
  </si>
  <si>
    <t>Tiebraker games best of</t>
  </si>
  <si>
    <t>Final game best of</t>
  </si>
  <si>
    <t>Header color</t>
  </si>
  <si>
    <t>Foreground color 1</t>
  </si>
  <si>
    <t>Foreground color 2</t>
  </si>
  <si>
    <t>Adjusted standings:</t>
  </si>
  <si>
    <t>Test1</t>
  </si>
  <si>
    <t>Test2</t>
  </si>
  <si>
    <t>Points table:</t>
  </si>
  <si>
    <t>Matchups:</t>
  </si>
  <si>
    <t>Place:</t>
  </si>
  <si>
    <t>Name:</t>
  </si>
  <si>
    <t>Points:</t>
  </si>
  <si>
    <t>Matches:</t>
  </si>
  <si>
    <t>Wins:</t>
  </si>
  <si>
    <t>Extra:</t>
  </si>
  <si>
    <t>[Season] Tournament, [Date], [Location]</t>
  </si>
  <si>
    <t>Participants:</t>
  </si>
  <si>
    <t>-</t>
  </si>
  <si>
    <t>5.</t>
  </si>
  <si>
    <t>6.</t>
  </si>
  <si>
    <t>Main stage games best of</t>
  </si>
  <si>
    <t>Winner bracket color</t>
  </si>
  <si>
    <t>Losers bracket color</t>
  </si>
  <si>
    <t>Participants limit 
(for performance)</t>
  </si>
  <si>
    <t>Name 1</t>
  </si>
  <si>
    <t>Name 2</t>
  </si>
  <si>
    <t>Name 3</t>
  </si>
  <si>
    <t>Name 4</t>
  </si>
  <si>
    <t>Name 5</t>
  </si>
  <si>
    <t>Name 6</t>
  </si>
  <si>
    <t>Round 4</t>
  </si>
  <si>
    <t>Round 5</t>
  </si>
  <si>
    <t>Tiebreakers:</t>
  </si>
  <si>
    <t xml:space="preserve">¢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</si>
</sst>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Britannic Bold"/>
    </font>
    <font>
      <sz val="12"/>
      <color indexed="8"/>
      <name val="Calibri"/>
      <family val="2"/>
      <scheme val="minor"/>
    </font>
    <font>
      <sz val="15"/>
      <color rgb="FF141414"/>
      <name val="Helvetica Neue"/>
      <family val="2"/>
    </font>
    <font>
      <b/>
      <sz val="22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rgb="FF000000"/>
      <name val="Calibri"/>
      <family val="2"/>
    </font>
    <font>
      <sz val="22"/>
      <color rgb="FF787878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sz val="12"/>
      <color rgb="FFFFFFF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0CECD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09F9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26252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3" fillId="2" borderId="0" xfId="0" applyNumberFormat="1" applyFont="1" applyFill="1" applyBorder="1" applyAlignment="1">
      <alignment vertical="center"/>
    </xf>
    <xf numFmtId="49" fontId="4" fillId="2" borderId="0" xfId="0" applyNumberFormat="1" applyFont="1" applyFill="1" applyBorder="1" applyAlignment="1">
      <alignment vertical="center"/>
    </xf>
    <xf numFmtId="49" fontId="3" fillId="2" borderId="3" xfId="0" applyNumberFormat="1" applyFont="1" applyFill="1" applyBorder="1" applyAlignment="1">
      <alignment vertical="center"/>
    </xf>
    <xf numFmtId="49" fontId="5" fillId="3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10" fillId="3" borderId="0" xfId="0" applyFont="1" applyFill="1" applyBorder="1"/>
    <xf numFmtId="0" fontId="0" fillId="2" borderId="0" xfId="0" applyFill="1"/>
    <xf numFmtId="0" fontId="11" fillId="0" borderId="0" xfId="0" applyFont="1"/>
    <xf numFmtId="0" fontId="12" fillId="2" borderId="0" xfId="0" applyFont="1" applyFill="1" applyAlignment="1">
      <alignment horizontal="center" vertical="center"/>
    </xf>
    <xf numFmtId="0" fontId="0" fillId="0" borderId="28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27" xfId="0" applyFill="1" applyBorder="1"/>
    <xf numFmtId="0" fontId="0" fillId="9" borderId="0" xfId="0" applyFill="1"/>
    <xf numFmtId="0" fontId="12" fillId="0" borderId="26" xfId="0" applyFont="1" applyFill="1" applyBorder="1" applyAlignment="1">
      <alignment horizontal="center" vertical="center"/>
    </xf>
    <xf numFmtId="0" fontId="12" fillId="0" borderId="28" xfId="0" applyFont="1" applyFill="1" applyBorder="1" applyAlignment="1">
      <alignment horizontal="center" vertical="center"/>
    </xf>
    <xf numFmtId="0" fontId="0" fillId="10" borderId="0" xfId="0" applyFill="1"/>
    <xf numFmtId="1" fontId="6" fillId="0" borderId="21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Border="1"/>
    <xf numFmtId="0" fontId="4" fillId="3" borderId="0" xfId="0" applyFont="1" applyFill="1" applyBorder="1" applyAlignment="1">
      <alignment vertical="center"/>
    </xf>
    <xf numFmtId="1" fontId="4" fillId="3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6" fillId="0" borderId="34" xfId="0" applyNumberFormat="1" applyFont="1" applyFill="1" applyBorder="1" applyAlignment="1">
      <alignment horizontal="center" vertical="center"/>
    </xf>
    <xf numFmtId="1" fontId="6" fillId="0" borderId="37" xfId="0" applyNumberFormat="1" applyFont="1" applyFill="1" applyBorder="1" applyAlignment="1">
      <alignment horizontal="center" vertical="center"/>
    </xf>
    <xf numFmtId="1" fontId="6" fillId="0" borderId="36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0" fontId="10" fillId="4" borderId="38" xfId="0" applyFont="1" applyFill="1" applyBorder="1"/>
    <xf numFmtId="0" fontId="0" fillId="0" borderId="40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33" xfId="0" applyFill="1" applyBorder="1"/>
    <xf numFmtId="0" fontId="0" fillId="0" borderId="36" xfId="0" applyFill="1" applyBorder="1"/>
    <xf numFmtId="0" fontId="19" fillId="14" borderId="0" xfId="0" applyFont="1" applyFill="1" applyBorder="1" applyAlignment="1">
      <alignment horizontal="center"/>
    </xf>
    <xf numFmtId="0" fontId="10" fillId="4" borderId="0" xfId="0" applyFont="1" applyFill="1" applyBorder="1"/>
    <xf numFmtId="0" fontId="10" fillId="4" borderId="39" xfId="0" applyFont="1" applyFill="1" applyBorder="1"/>
    <xf numFmtId="0" fontId="10" fillId="4" borderId="33" xfId="0" applyFont="1" applyFill="1" applyBorder="1"/>
    <xf numFmtId="1" fontId="20" fillId="3" borderId="0" xfId="0" applyNumberFormat="1" applyFont="1" applyFill="1" applyBorder="1"/>
    <xf numFmtId="1" fontId="6" fillId="0" borderId="33" xfId="0" applyNumberFormat="1" applyFont="1" applyFill="1" applyBorder="1" applyAlignment="1">
      <alignment horizontal="center" vertical="center"/>
    </xf>
    <xf numFmtId="1" fontId="6" fillId="0" borderId="6" xfId="0" applyNumberFormat="1" applyFont="1" applyFill="1" applyBorder="1" applyAlignment="1">
      <alignment horizontal="center" vertical="center"/>
    </xf>
    <xf numFmtId="1" fontId="6" fillId="0" borderId="35" xfId="0" applyNumberFormat="1" applyFont="1" applyFill="1" applyBorder="1" applyAlignment="1">
      <alignment horizontal="center" vertical="center"/>
    </xf>
    <xf numFmtId="1" fontId="6" fillId="0" borderId="12" xfId="0" applyNumberFormat="1" applyFont="1" applyFill="1" applyBorder="1" applyAlignment="1">
      <alignment horizontal="center" vertical="center"/>
    </xf>
    <xf numFmtId="1" fontId="6" fillId="0" borderId="11" xfId="0" applyNumberFormat="1" applyFont="1" applyFill="1" applyBorder="1" applyAlignment="1">
      <alignment horizontal="center" vertical="center"/>
    </xf>
    <xf numFmtId="1" fontId="6" fillId="0" borderId="5" xfId="0" applyNumberFormat="1" applyFont="1" applyFill="1" applyBorder="1" applyAlignment="1">
      <alignment horizontal="center" vertical="center"/>
    </xf>
    <xf numFmtId="1" fontId="6" fillId="0" borderId="7" xfId="0" applyNumberFormat="1" applyFont="1" applyFill="1" applyBorder="1" applyAlignment="1">
      <alignment horizontal="center" vertical="center"/>
    </xf>
    <xf numFmtId="1" fontId="6" fillId="0" borderId="1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>
      <alignment horizontal="center" vertical="center"/>
    </xf>
    <xf numFmtId="0" fontId="10" fillId="4" borderId="28" xfId="0" applyFont="1" applyFill="1" applyBorder="1"/>
    <xf numFmtId="0" fontId="10" fillId="4" borderId="36" xfId="0" applyFont="1" applyFill="1" applyBorder="1"/>
    <xf numFmtId="0" fontId="10" fillId="0" borderId="0" xfId="0" applyFont="1" applyFill="1" applyBorder="1"/>
    <xf numFmtId="0" fontId="10" fillId="4" borderId="49" xfId="0" applyFont="1" applyFill="1" applyBorder="1"/>
    <xf numFmtId="0" fontId="10" fillId="4" borderId="51" xfId="0" applyFont="1" applyFill="1" applyBorder="1"/>
    <xf numFmtId="0" fontId="10" fillId="3" borderId="8" xfId="0" applyFont="1" applyFill="1" applyBorder="1"/>
    <xf numFmtId="0" fontId="10" fillId="3" borderId="48" xfId="0" applyFont="1" applyFill="1" applyBorder="1"/>
    <xf numFmtId="0" fontId="10" fillId="3" borderId="52" xfId="0" applyFont="1" applyFill="1" applyBorder="1"/>
    <xf numFmtId="0" fontId="10" fillId="3" borderId="53" xfId="0" applyFont="1" applyFill="1" applyBorder="1"/>
    <xf numFmtId="0" fontId="10" fillId="3" borderId="37" xfId="0" applyFont="1" applyFill="1" applyBorder="1"/>
    <xf numFmtId="49" fontId="5" fillId="4" borderId="39" xfId="0" applyNumberFormat="1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7" fillId="0" borderId="35" xfId="0" applyNumberFormat="1" applyFont="1" applyFill="1" applyBorder="1" applyAlignment="1">
      <alignment horizontal="center" vertical="center"/>
    </xf>
    <xf numFmtId="0" fontId="7" fillId="0" borderId="34" xfId="0" applyNumberFormat="1" applyFont="1" applyFill="1" applyBorder="1" applyAlignment="1">
      <alignment horizontal="center" vertical="center"/>
    </xf>
    <xf numFmtId="0" fontId="5" fillId="0" borderId="35" xfId="0" applyNumberFormat="1" applyFont="1" applyFill="1" applyBorder="1" applyAlignment="1">
      <alignment horizontal="center" vertical="center"/>
    </xf>
    <xf numFmtId="0" fontId="5" fillId="0" borderId="34" xfId="0" applyNumberFormat="1" applyFont="1" applyFill="1" applyBorder="1" applyAlignment="1">
      <alignment horizontal="center" vertical="center"/>
    </xf>
    <xf numFmtId="0" fontId="5" fillId="0" borderId="33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/>
    </xf>
    <xf numFmtId="0" fontId="5" fillId="0" borderId="32" xfId="0" applyNumberFormat="1" applyFont="1" applyFill="1" applyBorder="1" applyAlignment="1">
      <alignment horizontal="center" vertical="center"/>
    </xf>
    <xf numFmtId="49" fontId="5" fillId="4" borderId="8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7" fillId="0" borderId="7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0" fontId="5" fillId="0" borderId="12" xfId="0" applyNumberFormat="1" applyFont="1" applyFill="1" applyBorder="1" applyAlignment="1">
      <alignment horizontal="center" vertical="center"/>
    </xf>
    <xf numFmtId="49" fontId="6" fillId="0" borderId="14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49" fontId="6" fillId="0" borderId="35" xfId="0" applyNumberFormat="1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6" fillId="4" borderId="50" xfId="0" applyFont="1" applyFill="1" applyBorder="1" applyAlignment="1">
      <alignment horizontal="center" vertical="center"/>
    </xf>
    <xf numFmtId="0" fontId="6" fillId="4" borderId="49" xfId="0" applyFont="1" applyFill="1" applyBorder="1" applyAlignment="1">
      <alignment horizontal="center" vertical="center"/>
    </xf>
    <xf numFmtId="49" fontId="6" fillId="4" borderId="39" xfId="0" applyNumberFormat="1" applyFont="1" applyFill="1" applyBorder="1" applyAlignment="1">
      <alignment horizontal="center" vertical="center"/>
    </xf>
    <xf numFmtId="0" fontId="10" fillId="0" borderId="34" xfId="0" applyFont="1" applyFill="1" applyBorder="1" applyAlignment="1">
      <alignment horizontal="center" vertical="center"/>
    </xf>
    <xf numFmtId="0" fontId="6" fillId="7" borderId="4" xfId="0" applyNumberFormat="1" applyFont="1" applyFill="1" applyBorder="1" applyAlignment="1">
      <alignment horizontal="center" vertical="center"/>
    </xf>
    <xf numFmtId="0" fontId="6" fillId="0" borderId="13" xfId="0" applyNumberFormat="1" applyFont="1" applyFill="1" applyBorder="1" applyAlignment="1">
      <alignment horizontal="center" vertical="center"/>
    </xf>
    <xf numFmtId="0" fontId="6" fillId="7" borderId="17" xfId="0" applyNumberFormat="1" applyFont="1" applyFill="1" applyBorder="1" applyAlignment="1">
      <alignment horizontal="center" vertical="center"/>
    </xf>
    <xf numFmtId="0" fontId="6" fillId="0" borderId="32" xfId="0" applyNumberFormat="1" applyFont="1" applyFill="1" applyBorder="1" applyAlignment="1">
      <alignment horizontal="center"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5" fillId="5" borderId="18" xfId="0" applyNumberFormat="1" applyFont="1" applyFill="1" applyBorder="1" applyAlignment="1">
      <alignment horizontal="center" vertical="center"/>
    </xf>
    <xf numFmtId="49" fontId="5" fillId="5" borderId="19" xfId="0" applyNumberFormat="1" applyFont="1" applyFill="1" applyBorder="1" applyAlignment="1">
      <alignment horizontal="center" vertical="center"/>
    </xf>
    <xf numFmtId="49" fontId="5" fillId="5" borderId="20" xfId="0" applyNumberFormat="1" applyFont="1" applyFill="1" applyBorder="1" applyAlignment="1">
      <alignment horizontal="center" vertical="center"/>
    </xf>
    <xf numFmtId="0" fontId="7" fillId="8" borderId="5" xfId="0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center"/>
    </xf>
    <xf numFmtId="49" fontId="5" fillId="0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0" fontId="18" fillId="0" borderId="6" xfId="0" applyNumberFormat="1" applyFont="1" applyFill="1" applyBorder="1" applyAlignment="1">
      <alignment horizontal="center" vertical="center"/>
    </xf>
    <xf numFmtId="49" fontId="18" fillId="0" borderId="9" xfId="0" applyNumberFormat="1" applyFont="1" applyFill="1" applyBorder="1" applyAlignment="1">
      <alignment horizontal="center" vertical="center"/>
    </xf>
    <xf numFmtId="0" fontId="7" fillId="8" borderId="35" xfId="0" applyNumberFormat="1" applyFont="1" applyFill="1" applyBorder="1" applyAlignment="1">
      <alignment horizontal="center" vertical="center"/>
    </xf>
    <xf numFmtId="49" fontId="7" fillId="0" borderId="34" xfId="0" applyNumberFormat="1" applyFont="1" applyFill="1" applyBorder="1" applyAlignment="1">
      <alignment horizontal="center" vertical="center"/>
    </xf>
    <xf numFmtId="49" fontId="5" fillId="0" borderId="33" xfId="0" applyNumberFormat="1" applyFont="1" applyFill="1" applyBorder="1" applyAlignment="1">
      <alignment horizontal="center" vertical="center"/>
    </xf>
    <xf numFmtId="49" fontId="5" fillId="0" borderId="34" xfId="0" applyNumberFormat="1" applyFont="1" applyFill="1" applyBorder="1" applyAlignment="1">
      <alignment horizontal="center" vertical="center"/>
    </xf>
    <xf numFmtId="0" fontId="18" fillId="0" borderId="33" xfId="0" applyNumberFormat="1" applyFont="1" applyFill="1" applyBorder="1" applyAlignment="1">
      <alignment horizontal="center" vertical="center"/>
    </xf>
    <xf numFmtId="49" fontId="18" fillId="0" borderId="36" xfId="0" applyNumberFormat="1" applyFont="1" applyFill="1" applyBorder="1" applyAlignment="1">
      <alignment horizontal="center" vertical="center"/>
    </xf>
    <xf numFmtId="49" fontId="5" fillId="0" borderId="11" xfId="0" applyNumberFormat="1" applyFont="1" applyFill="1" applyBorder="1" applyAlignment="1">
      <alignment horizontal="center" vertical="center"/>
    </xf>
    <xf numFmtId="49" fontId="5" fillId="0" borderId="13" xfId="0" applyNumberFormat="1" applyFont="1" applyFill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49" fontId="18" fillId="0" borderId="12" xfId="0" applyNumberFormat="1" applyFont="1" applyFill="1" applyBorder="1" applyAlignment="1">
      <alignment horizontal="center" vertical="center"/>
    </xf>
    <xf numFmtId="49" fontId="5" fillId="4" borderId="10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49" fontId="7" fillId="0" borderId="4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/>
    </xf>
    <xf numFmtId="0" fontId="7" fillId="8" borderId="4" xfId="0" applyNumberFormat="1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49" fontId="6" fillId="0" borderId="5" xfId="0" applyNumberFormat="1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12" fillId="5" borderId="18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13" fillId="0" borderId="16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30" xfId="0" applyFont="1" applyFill="1" applyBorder="1" applyAlignment="1">
      <alignment horizontal="right" vertical="center"/>
    </xf>
    <xf numFmtId="0" fontId="13" fillId="0" borderId="29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3" fillId="0" borderId="16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0" fillId="5" borderId="0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2" xfId="0" applyFont="1" applyFill="1" applyBorder="1" applyAlignment="1">
      <alignment horizontal="center" vertical="center"/>
    </xf>
    <xf numFmtId="0" fontId="15" fillId="0" borderId="41" xfId="0" applyFont="1" applyFill="1" applyBorder="1" applyAlignment="1">
      <alignment horizontal="right" vertical="center"/>
    </xf>
    <xf numFmtId="0" fontId="15" fillId="0" borderId="40" xfId="0" applyFont="1" applyFill="1" applyBorder="1" applyAlignment="1">
      <alignment horizontal="right" vertical="center"/>
    </xf>
    <xf numFmtId="0" fontId="0" fillId="0" borderId="3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2" fillId="5" borderId="23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right" vertical="center"/>
    </xf>
    <xf numFmtId="0" fontId="15" fillId="0" borderId="22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0" fontId="0" fillId="8" borderId="0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right" vertical="center" wrapText="1"/>
    </xf>
    <xf numFmtId="49" fontId="6" fillId="4" borderId="45" xfId="0" applyNumberFormat="1" applyFont="1" applyFill="1" applyBorder="1" applyAlignment="1">
      <alignment horizontal="center" vertical="center"/>
    </xf>
    <xf numFmtId="0" fontId="10" fillId="0" borderId="47" xfId="0" applyFont="1" applyFill="1" applyBorder="1" applyAlignment="1">
      <alignment horizontal="center" vertical="center"/>
    </xf>
    <xf numFmtId="49" fontId="6" fillId="4" borderId="44" xfId="0" applyNumberFormat="1" applyFont="1" applyFill="1" applyBorder="1" applyAlignment="1">
      <alignment horizontal="center" vertical="center"/>
    </xf>
    <xf numFmtId="0" fontId="10" fillId="0" borderId="44" xfId="0" applyFont="1" applyFill="1" applyBorder="1" applyAlignment="1">
      <alignment horizontal="center" vertical="center"/>
    </xf>
    <xf numFmtId="49" fontId="6" fillId="4" borderId="43" xfId="0" applyNumberFormat="1" applyFont="1" applyFill="1" applyBorder="1" applyAlignment="1">
      <alignment horizontal="center" vertical="center"/>
    </xf>
    <xf numFmtId="49" fontId="6" fillId="7" borderId="46" xfId="0" applyNumberFormat="1" applyFont="1" applyFill="1" applyBorder="1" applyAlignment="1">
      <alignment horizontal="center" vertical="center"/>
    </xf>
    <xf numFmtId="49" fontId="5" fillId="5" borderId="50" xfId="0" applyNumberFormat="1" applyFont="1" applyFill="1" applyBorder="1" applyAlignment="1">
      <alignment horizontal="center" vertical="center"/>
    </xf>
    <xf numFmtId="49" fontId="5" fillId="5" borderId="49" xfId="0" applyNumberFormat="1" applyFont="1" applyFill="1" applyBorder="1" applyAlignment="1">
      <alignment horizontal="center" vertical="center"/>
    </xf>
    <xf numFmtId="49" fontId="5" fillId="5" borderId="51" xfId="0" applyNumberFormat="1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10" fillId="4" borderId="54" xfId="0" applyFont="1" applyFill="1" applyBorder="1"/>
    <xf numFmtId="0" fontId="6" fillId="4" borderId="56" xfId="0" applyFont="1" applyFill="1" applyBorder="1" applyAlignment="1">
      <alignment horizontal="center" vertical="center"/>
    </xf>
    <xf numFmtId="0" fontId="10" fillId="4" borderId="57" xfId="0" applyFont="1" applyFill="1" applyBorder="1"/>
    <xf numFmtId="0" fontId="5" fillId="4" borderId="55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center" vertical="center"/>
    </xf>
    <xf numFmtId="0" fontId="5" fillId="4" borderId="59" xfId="0" applyFont="1" applyFill="1" applyBorder="1" applyAlignment="1">
      <alignment horizontal="center" vertical="center"/>
    </xf>
    <xf numFmtId="0" fontId="5" fillId="4" borderId="60" xfId="0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 vertical="center"/>
    </xf>
    <xf numFmtId="49" fontId="5" fillId="4" borderId="55" xfId="0" applyNumberFormat="1" applyFont="1" applyFill="1" applyBorder="1" applyAlignment="1">
      <alignment horizontal="center" vertical="center"/>
    </xf>
    <xf numFmtId="49" fontId="5" fillId="0" borderId="58" xfId="0" applyNumberFormat="1" applyFont="1" applyFill="1" applyBorder="1" applyAlignment="1">
      <alignment horizontal="center" vertical="center"/>
    </xf>
    <xf numFmtId="49" fontId="5" fillId="4" borderId="59" xfId="0" applyNumberFormat="1" applyFont="1" applyFill="1" applyBorder="1" applyAlignment="1">
      <alignment horizontal="center" vertical="center"/>
    </xf>
    <xf numFmtId="49" fontId="5" fillId="4" borderId="60" xfId="0" applyNumberFormat="1" applyFont="1" applyFill="1" applyBorder="1" applyAlignment="1">
      <alignment horizontal="center" vertical="center"/>
    </xf>
    <xf numFmtId="49" fontId="5" fillId="0" borderId="61" xfId="0" applyNumberFormat="1" applyFont="1" applyFill="1" applyBorder="1" applyAlignment="1">
      <alignment horizontal="center" vertical="center"/>
    </xf>
    <xf numFmtId="49" fontId="5" fillId="4" borderId="50" xfId="0" applyNumberFormat="1" applyFont="1" applyFill="1" applyBorder="1" applyAlignment="1">
      <alignment horizontal="center" vertical="center"/>
    </xf>
    <xf numFmtId="0" fontId="10" fillId="4" borderId="50" xfId="0" applyFont="1" applyFill="1" applyBorder="1"/>
  </cellXfs>
  <cellStyles count="1">
    <cellStyle name="Normal" xfId="0" builtinId="0"/>
  </cellStyles>
  <dxfs count="666">
    <dxf>
      <fill>
        <patternFill patternType="none">
          <bgColor indexed="65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 patternType="none">
          <bgColor indexed="65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 patternType="none">
          <bgColor indexed="65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 patternType="none">
          <bgColor indexed="65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262525"/>
      <color rgb="FFFFFFFF"/>
      <color rgb="FFF0F0F0"/>
      <color rgb="FFF0F0F2"/>
      <color rgb="FF787878"/>
      <color rgb="FF280000"/>
      <color rgb="FFE09F9F"/>
      <color rgb="FFE09FFF"/>
      <color rgb="FFC6E0B4"/>
      <color rgb="FFCFC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Q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12700</xdr:rowOff>
    </xdr:from>
    <xdr:to>
      <xdr:col>5</xdr:col>
      <xdr:colOff>0</xdr:colOff>
      <xdr:row>2</xdr:row>
      <xdr:rowOff>0</xdr:rowOff>
    </xdr:to>
    <xdr:sp macro="[0]!main_group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0000" y="647700"/>
          <a:ext cx="1270000" cy="622300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68648</xdr:colOff>
      <xdr:row>0</xdr:row>
      <xdr:rowOff>1355810</xdr:rowOff>
    </xdr:from>
    <xdr:to>
      <xdr:col>5</xdr:col>
      <xdr:colOff>85581</xdr:colOff>
      <xdr:row>1</xdr:row>
      <xdr:rowOff>562118</xdr:rowOff>
    </xdr:to>
    <xdr:sp macro="[0]!main_main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73648" y="1355810"/>
          <a:ext cx="1286933" cy="630767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38100</xdr:rowOff>
        </xdr:from>
        <xdr:to>
          <xdr:col>14</xdr:col>
          <xdr:colOff>609600</xdr:colOff>
          <xdr:row>2</xdr:row>
          <xdr:rowOff>622300</xdr:rowOff>
        </xdr:to>
        <xdr:sp macro="" textlink="">
          <xdr:nvSpPr>
            <xdr:cNvPr id="3085" name="Option Button 1_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2</xdr:row>
          <xdr:rowOff>38100</xdr:rowOff>
        </xdr:from>
        <xdr:to>
          <xdr:col>15</xdr:col>
          <xdr:colOff>622300</xdr:colOff>
          <xdr:row>2</xdr:row>
          <xdr:rowOff>622300</xdr:rowOff>
        </xdr:to>
        <xdr:sp macro="" textlink="">
          <xdr:nvSpPr>
            <xdr:cNvPr id="3086" name="Option Button 1_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4FCE-CF00-584D-BBB0-601DADB3733D}">
  <sheetPr codeName="Sheet1"/>
  <dimension ref="A1:AAM420"/>
  <sheetViews>
    <sheetView zoomScale="75" zoomScaleNormal="75" workbookViewId="0">
      <selection activeCell="W5" sqref="W5:X5"/>
    </sheetView>
  </sheetViews>
  <sheetFormatPr baseColWidth="10" defaultColWidth="8.33203125" defaultRowHeight="50" customHeight="1" x14ac:dyDescent="0.3"/>
  <cols>
    <col min="1" max="1" width="8.33203125" style="6"/>
    <col min="2" max="2" width="19.33203125" style="12" bestFit="1" customWidth="1"/>
    <col min="3" max="3" width="8.33203125" style="6" customWidth="1"/>
    <col min="4" max="4" width="8.33203125" style="6"/>
    <col min="5" max="6" width="8.33203125" style="6" customWidth="1"/>
    <col min="7" max="8" width="8.33203125" style="4"/>
    <col min="9" max="9" width="8.33203125" style="1" customWidth="1"/>
    <col min="10" max="51" width="8.33203125" style="1"/>
    <col min="52" max="52" width="8.33203125" style="1" customWidth="1"/>
    <col min="53" max="16384" width="8.33203125" style="1"/>
  </cols>
  <sheetData>
    <row r="1" spans="1:715" s="6" customFormat="1" ht="138" customHeight="1" thickBot="1" x14ac:dyDescent="0.25">
      <c r="A1" s="113" t="s">
        <v>34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 t="s">
        <v>52</v>
      </c>
      <c r="AP1" s="9"/>
      <c r="AQ1" s="9"/>
      <c r="AR1" s="9"/>
      <c r="AS1" s="9"/>
      <c r="AT1" s="9"/>
      <c r="AU1" s="9"/>
      <c r="AV1" s="42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</row>
    <row r="2" spans="1:715" s="13" customFormat="1" ht="50" customHeight="1" thickBot="1" x14ac:dyDescent="0.25">
      <c r="A2" s="15"/>
      <c r="B2" s="46" t="s">
        <v>35</v>
      </c>
      <c r="C2" s="15"/>
      <c r="D2" s="114"/>
      <c r="E2" s="114"/>
      <c r="F2" s="21"/>
      <c r="G2" s="115" t="s">
        <v>26</v>
      </c>
      <c r="H2" s="116"/>
      <c r="I2" s="116"/>
      <c r="J2" s="11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192" t="s">
        <v>27</v>
      </c>
      <c r="W2" s="193"/>
      <c r="X2" s="193"/>
      <c r="Y2" s="194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9"/>
      <c r="FV2" s="19"/>
      <c r="FW2" s="19"/>
      <c r="FX2" s="19"/>
    </row>
    <row r="3" spans="1:715" s="5" customFormat="1" ht="50" customHeight="1" x14ac:dyDescent="0.2">
      <c r="A3" s="14"/>
      <c r="B3" s="11" t="s">
        <v>43</v>
      </c>
      <c r="C3" s="16"/>
      <c r="D3" s="112"/>
      <c r="E3" s="112"/>
      <c r="F3" s="21"/>
      <c r="G3" s="191"/>
      <c r="H3" s="188"/>
      <c r="I3" s="190" t="s">
        <v>43</v>
      </c>
      <c r="J3" s="189"/>
      <c r="K3" s="190" t="s">
        <v>44</v>
      </c>
      <c r="L3" s="189"/>
      <c r="M3" s="190" t="s">
        <v>45</v>
      </c>
      <c r="N3" s="189"/>
      <c r="O3" s="186" t="s">
        <v>46</v>
      </c>
      <c r="P3" s="189"/>
      <c r="Q3" s="186" t="s">
        <v>47</v>
      </c>
      <c r="R3" s="189"/>
      <c r="S3" s="186" t="s">
        <v>48</v>
      </c>
      <c r="T3" s="187"/>
      <c r="U3" s="21"/>
      <c r="V3" s="197" t="s">
        <v>6</v>
      </c>
      <c r="W3" s="195"/>
      <c r="X3" s="196"/>
      <c r="Y3" s="196"/>
      <c r="Z3" s="196"/>
      <c r="AA3" s="196"/>
      <c r="AB3" s="196"/>
      <c r="AC3" s="196"/>
      <c r="AD3" s="196"/>
      <c r="AE3" s="196"/>
      <c r="AF3" s="196"/>
      <c r="AG3" s="198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</row>
    <row r="4" spans="1:715" s="2" customFormat="1" ht="50" customHeight="1" x14ac:dyDescent="0.2">
      <c r="A4" s="14" t="s">
        <v>0</v>
      </c>
      <c r="B4" s="11" t="s">
        <v>44</v>
      </c>
      <c r="C4" s="16"/>
      <c r="D4" s="112"/>
      <c r="E4" s="112"/>
      <c r="F4" s="21"/>
      <c r="G4" s="108" t="s">
        <v>43</v>
      </c>
      <c r="H4" s="109"/>
      <c r="I4" s="104"/>
      <c r="J4" s="105"/>
      <c r="K4" s="67">
        <f>$J$5</f>
        <v>2</v>
      </c>
      <c r="L4" s="66">
        <f>$I$5</f>
        <v>1</v>
      </c>
      <c r="M4" s="67">
        <f>$J$6</f>
        <v>2</v>
      </c>
      <c r="N4" s="66">
        <f>$I$6</f>
        <v>1</v>
      </c>
      <c r="O4" s="63">
        <f>$J$7</f>
        <v>2</v>
      </c>
      <c r="P4" s="66">
        <f>$I$7</f>
        <v>0</v>
      </c>
      <c r="Q4" s="63">
        <f>$J$8</f>
        <v>2</v>
      </c>
      <c r="R4" s="66">
        <f>$I$8</f>
        <v>0</v>
      </c>
      <c r="S4" s="63">
        <f>$J$9</f>
        <v>2</v>
      </c>
      <c r="T4" s="62">
        <f>$I$9</f>
        <v>1</v>
      </c>
      <c r="U4" s="58">
        <f>SUM($I$4,$K$4,$M$4,$O$4,$Q$4,$S$4,0.032)</f>
        <v>10.032</v>
      </c>
      <c r="V4" s="47"/>
      <c r="W4" s="96" t="s">
        <v>43</v>
      </c>
      <c r="X4" s="97"/>
      <c r="Y4" s="44">
        <v>2</v>
      </c>
      <c r="Z4" s="55"/>
      <c r="AA4" s="96" t="s">
        <v>44</v>
      </c>
      <c r="AB4" s="97"/>
      <c r="AC4" s="44">
        <v>2</v>
      </c>
      <c r="AD4" s="55"/>
      <c r="AE4" s="96" t="s">
        <v>45</v>
      </c>
      <c r="AF4" s="97"/>
      <c r="AG4" s="35">
        <v>2</v>
      </c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19"/>
      <c r="FF4" s="18"/>
      <c r="FG4" s="20"/>
      <c r="FH4" s="20"/>
      <c r="FI4" s="19"/>
      <c r="FJ4" s="18"/>
      <c r="FK4" s="20"/>
      <c r="FL4" s="20"/>
      <c r="FM4" s="19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</row>
    <row r="5" spans="1:715" s="2" customFormat="1" ht="50" customHeight="1" thickBot="1" x14ac:dyDescent="0.25">
      <c r="A5" s="14"/>
      <c r="B5" s="11" t="s">
        <v>45</v>
      </c>
      <c r="C5" s="16"/>
      <c r="D5" s="112"/>
      <c r="E5" s="112"/>
      <c r="F5" s="21"/>
      <c r="G5" s="108" t="s">
        <v>44</v>
      </c>
      <c r="H5" s="109"/>
      <c r="I5" s="67">
        <f>$Y$21</f>
        <v>1</v>
      </c>
      <c r="J5" s="66">
        <f>$Y$20</f>
        <v>2</v>
      </c>
      <c r="K5" s="104"/>
      <c r="L5" s="105"/>
      <c r="M5" s="67">
        <f>$L$6</f>
        <v>2</v>
      </c>
      <c r="N5" s="66">
        <f>$K$6</f>
        <v>1</v>
      </c>
      <c r="O5" s="63">
        <f>$AC$17</f>
        <v>1</v>
      </c>
      <c r="P5" s="66">
        <f>$AC$16</f>
        <v>2</v>
      </c>
      <c r="Q5" s="63">
        <f>$L$8</f>
        <v>2</v>
      </c>
      <c r="R5" s="66">
        <f>$K$8</f>
        <v>1</v>
      </c>
      <c r="S5" s="63">
        <f>$AG$13</f>
        <v>2</v>
      </c>
      <c r="T5" s="62">
        <f>$AG$12</f>
        <v>0</v>
      </c>
      <c r="U5" s="58">
        <f>SUM($I$5,$K$5,$M$5,$O$5,$Q$5,$S$5,0.031)</f>
        <v>8.0310000000000006</v>
      </c>
      <c r="V5" s="56"/>
      <c r="W5" s="98" t="s">
        <v>48</v>
      </c>
      <c r="X5" s="99"/>
      <c r="Y5" s="43">
        <v>1</v>
      </c>
      <c r="Z5" s="57"/>
      <c r="AA5" s="98" t="s">
        <v>47</v>
      </c>
      <c r="AB5" s="99"/>
      <c r="AC5" s="43">
        <v>1</v>
      </c>
      <c r="AD5" s="57"/>
      <c r="AE5" s="98" t="s">
        <v>46</v>
      </c>
      <c r="AF5" s="99"/>
      <c r="AG5" s="45">
        <v>1</v>
      </c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19"/>
      <c r="FF5" s="18"/>
      <c r="FG5" s="20"/>
      <c r="FH5" s="20"/>
      <c r="FI5" s="19"/>
      <c r="FJ5" s="18"/>
      <c r="FK5" s="20"/>
      <c r="FL5" s="20"/>
      <c r="FM5" s="19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</row>
    <row r="6" spans="1:715" s="2" customFormat="1" ht="50" customHeight="1" thickBot="1" x14ac:dyDescent="0.25">
      <c r="A6" s="14"/>
      <c r="B6" s="11" t="s">
        <v>46</v>
      </c>
      <c r="C6" s="16"/>
      <c r="D6" s="112"/>
      <c r="E6" s="112"/>
      <c r="F6" s="21"/>
      <c r="G6" s="108" t="s">
        <v>45</v>
      </c>
      <c r="H6" s="109"/>
      <c r="I6" s="67">
        <f>$Y$17</f>
        <v>1</v>
      </c>
      <c r="J6" s="66">
        <f>$Y$16</f>
        <v>2</v>
      </c>
      <c r="K6" s="67">
        <f>$AG$9</f>
        <v>1</v>
      </c>
      <c r="L6" s="66">
        <f>$AG$8</f>
        <v>2</v>
      </c>
      <c r="M6" s="104"/>
      <c r="N6" s="105"/>
      <c r="O6" s="63">
        <f>$N$7</f>
        <v>2</v>
      </c>
      <c r="P6" s="66">
        <f>$M$7</f>
        <v>1</v>
      </c>
      <c r="Q6" s="63">
        <f>$AC$13</f>
        <v>2</v>
      </c>
      <c r="R6" s="66">
        <f>$AC$12</f>
        <v>0</v>
      </c>
      <c r="S6" s="63">
        <f>$N$9</f>
        <v>1</v>
      </c>
      <c r="T6" s="62">
        <f>$M$9</f>
        <v>2</v>
      </c>
      <c r="U6" s="58">
        <f>SUM($I$6,$K$6,$M$6,$O$6,$Q$6,$S$6,0.03)</f>
        <v>7.03</v>
      </c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</row>
    <row r="7" spans="1:715" s="2" customFormat="1" ht="50" customHeight="1" x14ac:dyDescent="0.2">
      <c r="A7" s="14"/>
      <c r="B7" s="11" t="s">
        <v>47</v>
      </c>
      <c r="C7" s="16"/>
      <c r="D7" s="112"/>
      <c r="E7" s="112"/>
      <c r="F7" s="21"/>
      <c r="G7" s="108" t="s">
        <v>46</v>
      </c>
      <c r="H7" s="109"/>
      <c r="I7" s="67">
        <f>$Y$13</f>
        <v>0</v>
      </c>
      <c r="J7" s="66">
        <f>$Y$12</f>
        <v>2</v>
      </c>
      <c r="K7" s="67">
        <f>$P$5</f>
        <v>2</v>
      </c>
      <c r="L7" s="66">
        <f>$O$5</f>
        <v>1</v>
      </c>
      <c r="M7" s="67">
        <f>$AG$5</f>
        <v>1</v>
      </c>
      <c r="N7" s="66">
        <f>$AG$4</f>
        <v>2</v>
      </c>
      <c r="O7" s="104"/>
      <c r="P7" s="105"/>
      <c r="Q7" s="63">
        <f>$P$8</f>
        <v>2</v>
      </c>
      <c r="R7" s="66">
        <f>$O$8</f>
        <v>1</v>
      </c>
      <c r="S7" s="63">
        <f>$AC$9</f>
        <v>2</v>
      </c>
      <c r="T7" s="62">
        <f>$AC$8</f>
        <v>0</v>
      </c>
      <c r="U7" s="58">
        <f>SUM($I$7,$K$7,$M$7,$O$7,$Q$7,$S$7,0.029)</f>
        <v>7.0289999999999999</v>
      </c>
      <c r="V7" s="100" t="s">
        <v>7</v>
      </c>
      <c r="W7" s="101"/>
      <c r="X7" s="71"/>
      <c r="Y7" s="71"/>
      <c r="Z7" s="71"/>
      <c r="AA7" s="71"/>
      <c r="AB7" s="71"/>
      <c r="AC7" s="71"/>
      <c r="AD7" s="71"/>
      <c r="AE7" s="71"/>
      <c r="AF7" s="71"/>
      <c r="AG7" s="72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</row>
    <row r="8" spans="1:715" s="2" customFormat="1" ht="50" customHeight="1" x14ac:dyDescent="0.2">
      <c r="A8" s="14"/>
      <c r="B8" s="11" t="s">
        <v>48</v>
      </c>
      <c r="C8" s="16"/>
      <c r="D8" s="112"/>
      <c r="E8" s="112"/>
      <c r="F8" s="21"/>
      <c r="G8" s="110" t="s">
        <v>47</v>
      </c>
      <c r="H8" s="111"/>
      <c r="I8" s="64">
        <f>$Y$9</f>
        <v>0</v>
      </c>
      <c r="J8" s="65">
        <f>$Y$8</f>
        <v>2</v>
      </c>
      <c r="K8" s="64">
        <f>$AC$5</f>
        <v>1</v>
      </c>
      <c r="L8" s="65">
        <f>$AC$4</f>
        <v>2</v>
      </c>
      <c r="M8" s="64">
        <f>$R$6</f>
        <v>0</v>
      </c>
      <c r="N8" s="65">
        <f>$Q$6</f>
        <v>2</v>
      </c>
      <c r="O8" s="60">
        <f>$AG$21</f>
        <v>1</v>
      </c>
      <c r="P8" s="65">
        <f>$AG$20</f>
        <v>2</v>
      </c>
      <c r="Q8" s="104"/>
      <c r="R8" s="105"/>
      <c r="S8" s="60">
        <f>$R$9</f>
        <v>2</v>
      </c>
      <c r="T8" s="36">
        <f>$Q$9</f>
        <v>1</v>
      </c>
      <c r="U8" s="58">
        <f>SUM($I$8,$K$8,$M$8,$O$8,$Q$8,$S$8,0.028)</f>
        <v>4.0279999999999996</v>
      </c>
      <c r="V8" s="47"/>
      <c r="W8" s="96" t="s">
        <v>43</v>
      </c>
      <c r="X8" s="97"/>
      <c r="Y8" s="44">
        <v>2</v>
      </c>
      <c r="Z8" s="55"/>
      <c r="AA8" s="96" t="s">
        <v>48</v>
      </c>
      <c r="AB8" s="97"/>
      <c r="AC8" s="44">
        <v>0</v>
      </c>
      <c r="AD8" s="55"/>
      <c r="AE8" s="96" t="s">
        <v>44</v>
      </c>
      <c r="AF8" s="97"/>
      <c r="AG8" s="35">
        <v>2</v>
      </c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19"/>
      <c r="FF8" s="18"/>
      <c r="FG8" s="20"/>
      <c r="FH8" s="20"/>
      <c r="FI8" s="19"/>
      <c r="FJ8" s="18"/>
      <c r="FK8" s="20"/>
      <c r="FL8" s="20"/>
      <c r="FM8" s="19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</row>
    <row r="9" spans="1:715" s="2" customFormat="1" ht="50" customHeight="1" thickBot="1" x14ac:dyDescent="0.25">
      <c r="A9" s="7"/>
      <c r="B9" s="11"/>
      <c r="C9" s="10"/>
      <c r="D9" s="7"/>
      <c r="E9" s="7"/>
      <c r="F9" s="21"/>
      <c r="G9" s="102" t="s">
        <v>48</v>
      </c>
      <c r="H9" s="103"/>
      <c r="I9" s="61">
        <f>$Y$5</f>
        <v>1</v>
      </c>
      <c r="J9" s="43">
        <f>$Y$4</f>
        <v>2</v>
      </c>
      <c r="K9" s="61">
        <f>$T$5</f>
        <v>0</v>
      </c>
      <c r="L9" s="43">
        <f>$S$5</f>
        <v>2</v>
      </c>
      <c r="M9" s="61">
        <f>$AC$21</f>
        <v>2</v>
      </c>
      <c r="N9" s="43">
        <f>$AC$20</f>
        <v>1</v>
      </c>
      <c r="O9" s="59">
        <f>$T$7</f>
        <v>0</v>
      </c>
      <c r="P9" s="43">
        <f>$S$7</f>
        <v>2</v>
      </c>
      <c r="Q9" s="59">
        <f>$AG$17</f>
        <v>1</v>
      </c>
      <c r="R9" s="43">
        <f>$AG$16</f>
        <v>2</v>
      </c>
      <c r="S9" s="106"/>
      <c r="T9" s="107"/>
      <c r="U9" s="58">
        <f>SUM($I$9,$K$9,$M$9,$O$9,$Q$9,$S$9,0.027)</f>
        <v>4.0270000000000001</v>
      </c>
      <c r="V9" s="56"/>
      <c r="W9" s="98" t="s">
        <v>47</v>
      </c>
      <c r="X9" s="99"/>
      <c r="Y9" s="43">
        <v>0</v>
      </c>
      <c r="Z9" s="57"/>
      <c r="AA9" s="98" t="s">
        <v>46</v>
      </c>
      <c r="AB9" s="99"/>
      <c r="AC9" s="43">
        <v>2</v>
      </c>
      <c r="AD9" s="57"/>
      <c r="AE9" s="98" t="s">
        <v>45</v>
      </c>
      <c r="AF9" s="99"/>
      <c r="AG9" s="45">
        <v>1</v>
      </c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19"/>
      <c r="FF9" s="18"/>
      <c r="FG9" s="20"/>
      <c r="FH9" s="20"/>
      <c r="FI9" s="19"/>
      <c r="FJ9" s="18"/>
      <c r="FK9" s="20"/>
      <c r="FL9" s="20"/>
      <c r="FM9" s="19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</row>
    <row r="10" spans="1:715" s="2" customFormat="1" ht="50" customHeight="1" thickBot="1" x14ac:dyDescent="0.25">
      <c r="A10" s="7"/>
      <c r="B10" s="11"/>
      <c r="C10" s="10"/>
      <c r="D10" s="7"/>
      <c r="E10" s="7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</row>
    <row r="11" spans="1:715" s="2" customFormat="1" ht="50" customHeight="1" thickBot="1" x14ac:dyDescent="0.25">
      <c r="A11" s="7"/>
      <c r="B11" s="11"/>
      <c r="C11" s="10"/>
      <c r="D11" s="7"/>
      <c r="E11" s="7"/>
      <c r="F11" s="21"/>
      <c r="G11" s="192" t="s">
        <v>5</v>
      </c>
      <c r="H11" s="193"/>
      <c r="I11" s="193"/>
      <c r="J11" s="194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100" t="s">
        <v>8</v>
      </c>
      <c r="W11" s="101"/>
      <c r="X11" s="71"/>
      <c r="Y11" s="71"/>
      <c r="Z11" s="71"/>
      <c r="AA11" s="71"/>
      <c r="AB11" s="71"/>
      <c r="AC11" s="71"/>
      <c r="AD11" s="71"/>
      <c r="AE11" s="71"/>
      <c r="AF11" s="71"/>
      <c r="AG11" s="72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</row>
    <row r="12" spans="1:715" s="2" customFormat="1" ht="50" customHeight="1" x14ac:dyDescent="0.2">
      <c r="A12" s="7"/>
      <c r="B12" s="11"/>
      <c r="C12" s="10"/>
      <c r="D12" s="7"/>
      <c r="E12" s="7"/>
      <c r="F12" s="21"/>
      <c r="G12" s="202" t="s">
        <v>28</v>
      </c>
      <c r="H12" s="200"/>
      <c r="I12" s="199" t="s">
        <v>29</v>
      </c>
      <c r="J12" s="200"/>
      <c r="K12" s="199" t="s">
        <v>30</v>
      </c>
      <c r="L12" s="200"/>
      <c r="M12" s="201" t="s">
        <v>31</v>
      </c>
      <c r="N12" s="200"/>
      <c r="O12" s="201" t="s">
        <v>32</v>
      </c>
      <c r="P12" s="203"/>
      <c r="Q12" s="21"/>
      <c r="R12" s="21"/>
      <c r="S12" s="21"/>
      <c r="T12" s="21"/>
      <c r="U12" s="21"/>
      <c r="V12" s="47"/>
      <c r="W12" s="96" t="s">
        <v>43</v>
      </c>
      <c r="X12" s="97"/>
      <c r="Y12" s="44">
        <v>2</v>
      </c>
      <c r="Z12" s="55"/>
      <c r="AA12" s="96" t="s">
        <v>47</v>
      </c>
      <c r="AB12" s="97"/>
      <c r="AC12" s="44">
        <v>0</v>
      </c>
      <c r="AD12" s="55"/>
      <c r="AE12" s="96" t="s">
        <v>48</v>
      </c>
      <c r="AF12" s="97"/>
      <c r="AG12" s="35">
        <v>0</v>
      </c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19"/>
      <c r="FF12" s="18"/>
      <c r="FG12" s="20"/>
      <c r="FH12" s="20"/>
      <c r="FI12" s="19"/>
      <c r="FJ12" s="18"/>
      <c r="FK12" s="20"/>
      <c r="FL12" s="20"/>
      <c r="FM12" s="19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</row>
    <row r="13" spans="1:715" s="2" customFormat="1" ht="50" customHeight="1" thickBot="1" x14ac:dyDescent="0.25">
      <c r="A13" s="7"/>
      <c r="B13" s="11"/>
      <c r="C13" s="10"/>
      <c r="D13" s="7"/>
      <c r="E13" s="7"/>
      <c r="F13" s="21"/>
      <c r="G13" s="87" t="s">
        <v>1</v>
      </c>
      <c r="H13" s="88"/>
      <c r="I13" s="89" t="str">
        <f>INDEX($B$3:$B$8, MATCH(LARGE($U$4:$U$9,1),$U$4:$U$9,0))</f>
        <v>Name 1</v>
      </c>
      <c r="J13" s="90"/>
      <c r="K13" s="91">
        <f>INT(LARGE($U$4:$U$9,1))</f>
        <v>10</v>
      </c>
      <c r="L13" s="92"/>
      <c r="M13" s="93">
        <f ca="1">COUNTIF(OFFSET($I$3:$T$3, MATCH(LARGE($U$4:$U$9,1 ),$U$4:$U$9,0),0,1,12),  "&gt;= 2" )</f>
        <v>5</v>
      </c>
      <c r="N13" s="92"/>
      <c r="O13" s="94">
        <f t="array" aca="1" ref="O13" ca="1">COUNT(IF(IF(MOD(COLUMN(OFFSET($I$3:$T$3, MATCH(LARGE($U$4:$U$9,1 ),$U$4:$U$9,0),0,1,12))+1,2)=0,OFFSET($I$3:$T$3, MATCH(LARGE($U$4:$U$9,1 ),$U$4:$U$9,0),0,1,12),0)=2,OFFSET($I$3:$T$3, MATCH(LARGE($U$4:$U$9,1 ),$U$4:$U$9,0),0,1,12),""))</f>
        <v>5</v>
      </c>
      <c r="P13" s="95"/>
      <c r="Q13" s="21"/>
      <c r="R13" s="21"/>
      <c r="S13" s="21"/>
      <c r="T13" s="21"/>
      <c r="U13" s="21"/>
      <c r="V13" s="56"/>
      <c r="W13" s="98" t="s">
        <v>46</v>
      </c>
      <c r="X13" s="99"/>
      <c r="Y13" s="43">
        <v>0</v>
      </c>
      <c r="Z13" s="57"/>
      <c r="AA13" s="98" t="s">
        <v>45</v>
      </c>
      <c r="AB13" s="99"/>
      <c r="AC13" s="43">
        <v>2</v>
      </c>
      <c r="AD13" s="57"/>
      <c r="AE13" s="98" t="s">
        <v>44</v>
      </c>
      <c r="AF13" s="99"/>
      <c r="AG13" s="45">
        <v>2</v>
      </c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19"/>
      <c r="FF13" s="18"/>
      <c r="FG13" s="20"/>
      <c r="FH13" s="20"/>
      <c r="FI13" s="19"/>
      <c r="FJ13" s="18"/>
      <c r="FK13" s="20"/>
      <c r="FL13" s="20"/>
      <c r="FM13" s="19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</row>
    <row r="14" spans="1:715" s="2" customFormat="1" ht="50" customHeight="1" thickBot="1" x14ac:dyDescent="0.25">
      <c r="A14" s="7"/>
      <c r="B14" s="11"/>
      <c r="C14" s="7"/>
      <c r="D14" s="7"/>
      <c r="E14" s="7"/>
      <c r="F14" s="21"/>
      <c r="G14" s="87" t="s">
        <v>2</v>
      </c>
      <c r="H14" s="88"/>
      <c r="I14" s="89" t="str">
        <f>INDEX($B$3:$B$8, MATCH(LARGE($U$4:$U$9,2),$U$4:$U$9,0))</f>
        <v>Name 2</v>
      </c>
      <c r="J14" s="90"/>
      <c r="K14" s="91">
        <f>INT(LARGE($U$4:$U$9,2))</f>
        <v>8</v>
      </c>
      <c r="L14" s="92"/>
      <c r="M14" s="93">
        <f ca="1">COUNTIF(OFFSET($I$3:$T$3, MATCH(LARGE($U$4:$U$9,2 ),$U$4:$U$9,0),0,1,12),  "&gt;= 2" )</f>
        <v>5</v>
      </c>
      <c r="N14" s="92"/>
      <c r="O14" s="94">
        <f t="array" aca="1" ref="O14" ca="1">COUNT(IF(IF(MOD(COLUMN(OFFSET($I$3:$T$3, MATCH(LARGE($U$4:$U$9,2 ),$U$4:$U$9,0),0,1,12))+1,2)=0,OFFSET($I$3:$T$3, MATCH(LARGE($U$4:$U$9,2 ),$U$4:$U$9,0),0,1,12),0)=2,OFFSET($I$3:$T$3, MATCH(LARGE($U$4:$U$9,2 ),$U$4:$U$9,0),0,1,12),""))</f>
        <v>3</v>
      </c>
      <c r="P14" s="95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</row>
    <row r="15" spans="1:715" s="2" customFormat="1" ht="50" customHeight="1" x14ac:dyDescent="0.2">
      <c r="A15" s="7"/>
      <c r="B15" s="11"/>
      <c r="C15" s="7"/>
      <c r="D15" s="7"/>
      <c r="E15" s="7"/>
      <c r="F15" s="21"/>
      <c r="G15" s="87" t="s">
        <v>3</v>
      </c>
      <c r="H15" s="88"/>
      <c r="I15" s="89" t="str">
        <f>INDEX($B$3:$B$8, MATCH(LARGE($U$4:$U$9,3),$U$4:$U$9,0))</f>
        <v>Name 3</v>
      </c>
      <c r="J15" s="90"/>
      <c r="K15" s="91">
        <f>INT(LARGE($U$4:$U$9,3))</f>
        <v>7</v>
      </c>
      <c r="L15" s="92"/>
      <c r="M15" s="93">
        <f ca="1">COUNTIF(OFFSET($I$3:$T$3, MATCH(LARGE($U$4:$U$9,3 ),$U$4:$U$9,0),0,1,12),  "&gt;= 2" )</f>
        <v>5</v>
      </c>
      <c r="N15" s="92"/>
      <c r="O15" s="94">
        <f t="array" aca="1" ref="O15" ca="1">COUNT(IF(IF(MOD(COLUMN(OFFSET($I$3:$T$3, MATCH(LARGE($U$4:$U$9,3 ),$U$4:$U$9,0),0,1,12))+1,2)=0,OFFSET($I$3:$T$3, MATCH(LARGE($U$4:$U$9,3 ),$U$4:$U$9,0),0,1,12),0)=2,OFFSET($I$3:$T$3, MATCH(LARGE($U$4:$U$9,3 ),$U$4:$U$9,0),0,1,12),""))</f>
        <v>2</v>
      </c>
      <c r="P15" s="95"/>
      <c r="Q15" s="21"/>
      <c r="R15" s="21"/>
      <c r="S15" s="21"/>
      <c r="T15" s="21"/>
      <c r="U15" s="21"/>
      <c r="V15" s="100" t="s">
        <v>49</v>
      </c>
      <c r="W15" s="101"/>
      <c r="X15" s="71"/>
      <c r="Y15" s="71"/>
      <c r="Z15" s="71"/>
      <c r="AA15" s="71"/>
      <c r="AB15" s="71"/>
      <c r="AC15" s="71"/>
      <c r="AD15" s="71"/>
      <c r="AE15" s="71"/>
      <c r="AF15" s="71"/>
      <c r="AG15" s="72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</row>
    <row r="16" spans="1:715" s="2" customFormat="1" ht="50" customHeight="1" x14ac:dyDescent="0.2">
      <c r="A16" s="7"/>
      <c r="B16" s="11"/>
      <c r="C16" s="7"/>
      <c r="D16" s="7"/>
      <c r="E16" s="7"/>
      <c r="F16" s="21"/>
      <c r="G16" s="87" t="s">
        <v>4</v>
      </c>
      <c r="H16" s="88"/>
      <c r="I16" s="89" t="str">
        <f>INDEX($B$3:$B$8, MATCH(LARGE($U$4:$U$9,4),$U$4:$U$9,0))</f>
        <v>Name 4</v>
      </c>
      <c r="J16" s="90"/>
      <c r="K16" s="91">
        <f>INT(LARGE($U$4:$U$9,4))</f>
        <v>7</v>
      </c>
      <c r="L16" s="92"/>
      <c r="M16" s="93">
        <f ca="1">COUNTIF(OFFSET($I$3:$T$3, MATCH(LARGE($U$4:$U$9,4 ),$U$4:$U$9,0),0,1,12),  "&gt;= 2" )</f>
        <v>5</v>
      </c>
      <c r="N16" s="92"/>
      <c r="O16" s="94">
        <f t="array" aca="1" ref="O16" ca="1">COUNT(IF(IF(MOD(COLUMN(OFFSET($I$3:$T$3, MATCH(LARGE($U$4:$U$9,4 ),$U$4:$U$9,0),0,1,12))+1,2)=0,OFFSET($I$3:$T$3, MATCH(LARGE($U$4:$U$9,4 ),$U$4:$U$9,0),0,1,12),0)=2,OFFSET($I$3:$T$3, MATCH(LARGE($U$4:$U$9,4 ),$U$4:$U$9,0),0,1,12),""))</f>
        <v>3</v>
      </c>
      <c r="P16" s="95"/>
      <c r="Q16" s="21"/>
      <c r="R16" s="21"/>
      <c r="S16" s="21"/>
      <c r="T16" s="21"/>
      <c r="U16" s="21"/>
      <c r="V16" s="47"/>
      <c r="W16" s="96" t="s">
        <v>43</v>
      </c>
      <c r="X16" s="97"/>
      <c r="Y16" s="44">
        <v>2</v>
      </c>
      <c r="Z16" s="55"/>
      <c r="AA16" s="96" t="s">
        <v>46</v>
      </c>
      <c r="AB16" s="97"/>
      <c r="AC16" s="44">
        <v>2</v>
      </c>
      <c r="AD16" s="55"/>
      <c r="AE16" s="96" t="s">
        <v>47</v>
      </c>
      <c r="AF16" s="97"/>
      <c r="AG16" s="35">
        <v>2</v>
      </c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19"/>
      <c r="FF16" s="18"/>
      <c r="FG16" s="20"/>
      <c r="FH16" s="20"/>
      <c r="FI16" s="19"/>
      <c r="FJ16" s="18"/>
      <c r="FK16" s="20"/>
      <c r="FL16" s="20"/>
      <c r="FM16" s="19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</row>
    <row r="17" spans="1:715" s="2" customFormat="1" ht="50" customHeight="1" thickBot="1" x14ac:dyDescent="0.25">
      <c r="A17" s="7"/>
      <c r="B17" s="11"/>
      <c r="C17" s="7"/>
      <c r="D17" s="7"/>
      <c r="E17" s="7"/>
      <c r="F17" s="21"/>
      <c r="G17" s="87" t="s">
        <v>37</v>
      </c>
      <c r="H17" s="88"/>
      <c r="I17" s="89" t="str">
        <f>INDEX($B$3:$B$8, MATCH(LARGE($U$4:$U$9,5),$U$4:$U$9,0))</f>
        <v>Name 5</v>
      </c>
      <c r="J17" s="90"/>
      <c r="K17" s="91">
        <f>INT(LARGE($U$4:$U$9,5))</f>
        <v>4</v>
      </c>
      <c r="L17" s="92"/>
      <c r="M17" s="93">
        <f ca="1">COUNTIF(OFFSET($I$3:$T$3, MATCH(LARGE($U$4:$U$9,5 ),$U$4:$U$9,0),0,1,12),  "&gt;= 2" )</f>
        <v>5</v>
      </c>
      <c r="N17" s="92"/>
      <c r="O17" s="94">
        <f t="array" aca="1" ref="O17" ca="1">COUNT(IF(IF(MOD(COLUMN(OFFSET($I$3:$T$3, MATCH(LARGE($U$4:$U$9,5 ),$U$4:$U$9,0),0,1,12))+1,2)=0,OFFSET($I$3:$T$3, MATCH(LARGE($U$4:$U$9,5 ),$U$4:$U$9,0),0,1,12),0)=2,OFFSET($I$3:$T$3, MATCH(LARGE($U$4:$U$9,5 ),$U$4:$U$9,0),0,1,12),""))</f>
        <v>1</v>
      </c>
      <c r="P17" s="95"/>
      <c r="Q17" s="21"/>
      <c r="R17" s="21"/>
      <c r="S17" s="21"/>
      <c r="T17" s="21"/>
      <c r="U17" s="21"/>
      <c r="V17" s="56"/>
      <c r="W17" s="98" t="s">
        <v>45</v>
      </c>
      <c r="X17" s="99"/>
      <c r="Y17" s="43">
        <v>1</v>
      </c>
      <c r="Z17" s="57"/>
      <c r="AA17" s="98" t="s">
        <v>44</v>
      </c>
      <c r="AB17" s="99"/>
      <c r="AC17" s="43">
        <v>1</v>
      </c>
      <c r="AD17" s="57"/>
      <c r="AE17" s="98" t="s">
        <v>48</v>
      </c>
      <c r="AF17" s="99"/>
      <c r="AG17" s="45">
        <v>1</v>
      </c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19"/>
      <c r="FF17" s="18"/>
      <c r="FG17" s="20"/>
      <c r="FH17" s="20"/>
      <c r="FI17" s="19"/>
      <c r="FJ17" s="18"/>
      <c r="FK17" s="20"/>
      <c r="FL17" s="20"/>
      <c r="FM17" s="19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</row>
    <row r="18" spans="1:715" s="2" customFormat="1" ht="50" customHeight="1" thickBot="1" x14ac:dyDescent="0.25">
      <c r="A18" s="8"/>
      <c r="B18" s="11"/>
      <c r="C18" s="8"/>
      <c r="D18" s="8"/>
      <c r="E18" s="8"/>
      <c r="F18" s="21"/>
      <c r="G18" s="78" t="s">
        <v>38</v>
      </c>
      <c r="H18" s="79"/>
      <c r="I18" s="80" t="str">
        <f>INDEX($B$3:$B$8, MATCH(LARGE($U$4:$U$9,6),$U$4:$U$9,0))</f>
        <v>Name 6</v>
      </c>
      <c r="J18" s="81"/>
      <c r="K18" s="82">
        <f>INT(LARGE($U$4:$U$9,6))</f>
        <v>4</v>
      </c>
      <c r="L18" s="83"/>
      <c r="M18" s="84">
        <f ca="1">COUNTIF(OFFSET($I$3:$T$3, MATCH(LARGE($U$4:$U$9,6 ),$U$4:$U$9,0),0,1,12),  "&gt;= 2" )</f>
        <v>5</v>
      </c>
      <c r="N18" s="83"/>
      <c r="O18" s="85">
        <f t="array" aca="1" ref="O18" ca="1">COUNT(IF(IF(MOD(COLUMN(OFFSET($I$3:$T$3, MATCH(LARGE($U$4:$U$9,6 ),$U$4:$U$9,0),0,1,12))+1,2)=0,OFFSET($I$3:$T$3, MATCH(LARGE($U$4:$U$9,6 ),$U$4:$U$9,0),0,1,12),0)=2,OFFSET($I$3:$T$3, MATCH(LARGE($U$4:$U$9,6 ),$U$4:$U$9,0),0,1,12),""))</f>
        <v>1</v>
      </c>
      <c r="P18" s="86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</row>
    <row r="19" spans="1:715" s="2" customFormat="1" ht="50" customHeight="1" x14ac:dyDescent="0.2">
      <c r="A19" s="8"/>
      <c r="B19" s="11"/>
      <c r="C19" s="8"/>
      <c r="D19" s="8"/>
      <c r="E19" s="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100" t="s">
        <v>50</v>
      </c>
      <c r="W19" s="101"/>
      <c r="X19" s="71"/>
      <c r="Y19" s="71"/>
      <c r="Z19" s="71"/>
      <c r="AA19" s="71"/>
      <c r="AB19" s="71"/>
      <c r="AC19" s="71"/>
      <c r="AD19" s="71"/>
      <c r="AE19" s="71"/>
      <c r="AF19" s="71"/>
      <c r="AG19" s="72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</row>
    <row r="20" spans="1:715" s="2" customFormat="1" ht="50" customHeight="1" x14ac:dyDescent="0.2">
      <c r="A20" s="8"/>
      <c r="B20" s="11"/>
      <c r="C20" s="8"/>
      <c r="D20" s="8"/>
      <c r="E20" s="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47"/>
      <c r="W20" s="96" t="s">
        <v>43</v>
      </c>
      <c r="X20" s="97"/>
      <c r="Y20" s="44">
        <v>2</v>
      </c>
      <c r="Z20" s="55"/>
      <c r="AA20" s="96" t="s">
        <v>45</v>
      </c>
      <c r="AB20" s="97"/>
      <c r="AC20" s="44">
        <v>1</v>
      </c>
      <c r="AD20" s="55"/>
      <c r="AE20" s="96" t="s">
        <v>46</v>
      </c>
      <c r="AF20" s="97"/>
      <c r="AG20" s="35">
        <v>2</v>
      </c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19"/>
      <c r="FF20" s="18"/>
      <c r="FG20" s="20"/>
      <c r="FH20" s="20"/>
      <c r="FI20" s="19"/>
      <c r="FJ20" s="18"/>
      <c r="FK20" s="20"/>
      <c r="FL20" s="20"/>
      <c r="FM20" s="19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</row>
    <row r="21" spans="1:715" s="2" customFormat="1" ht="50" customHeight="1" thickBot="1" x14ac:dyDescent="0.25">
      <c r="A21" s="8"/>
      <c r="B21" s="11"/>
      <c r="C21" s="8"/>
      <c r="D21" s="8"/>
      <c r="E21" s="8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56"/>
      <c r="W21" s="98" t="s">
        <v>44</v>
      </c>
      <c r="X21" s="99"/>
      <c r="Y21" s="43">
        <v>1</v>
      </c>
      <c r="Z21" s="57"/>
      <c r="AA21" s="98" t="s">
        <v>48</v>
      </c>
      <c r="AB21" s="99"/>
      <c r="AC21" s="43">
        <v>2</v>
      </c>
      <c r="AD21" s="57"/>
      <c r="AE21" s="98" t="s">
        <v>47</v>
      </c>
      <c r="AF21" s="99"/>
      <c r="AG21" s="45">
        <v>1</v>
      </c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19"/>
      <c r="FF21" s="18"/>
      <c r="FG21" s="20"/>
      <c r="FH21" s="20"/>
      <c r="FI21" s="19"/>
      <c r="FJ21" s="18"/>
      <c r="FK21" s="20"/>
      <c r="FL21" s="20"/>
      <c r="FM21" s="19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</row>
    <row r="22" spans="1:715" s="2" customFormat="1" ht="50" customHeight="1" x14ac:dyDescent="0.2">
      <c r="A22" s="8"/>
      <c r="B22" s="11"/>
      <c r="C22" s="8"/>
      <c r="D22" s="8"/>
      <c r="E22" s="8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</row>
    <row r="23" spans="1:715" s="2" customFormat="1" ht="50" customHeight="1" x14ac:dyDescent="0.2">
      <c r="A23" s="8"/>
      <c r="B23" s="11"/>
      <c r="C23" s="8"/>
      <c r="D23" s="8"/>
      <c r="E23" s="8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</row>
    <row r="24" spans="1:715" s="2" customFormat="1" ht="50" customHeight="1" x14ac:dyDescent="0.2">
      <c r="A24" s="8"/>
      <c r="B24" s="11"/>
      <c r="C24" s="8"/>
      <c r="D24" s="8"/>
      <c r="E24" s="8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19"/>
      <c r="FF24" s="18"/>
      <c r="FG24" s="20"/>
      <c r="FH24" s="20"/>
      <c r="FI24" s="19"/>
      <c r="FJ24" s="18"/>
      <c r="FK24" s="20"/>
      <c r="FL24" s="20"/>
      <c r="FM24" s="19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</row>
    <row r="25" spans="1:715" s="2" customFormat="1" ht="50" customHeight="1" x14ac:dyDescent="0.2">
      <c r="A25" s="8"/>
      <c r="B25" s="11"/>
      <c r="C25" s="8"/>
      <c r="D25" s="8"/>
      <c r="E25" s="8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19"/>
      <c r="FF25" s="18"/>
      <c r="FG25" s="20"/>
      <c r="FH25" s="20"/>
      <c r="FI25" s="19"/>
      <c r="FJ25" s="18"/>
      <c r="FK25" s="20"/>
      <c r="FL25" s="20"/>
      <c r="FM25" s="19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</row>
    <row r="26" spans="1:715" s="2" customFormat="1" ht="50" customHeight="1" x14ac:dyDescent="0.2">
      <c r="A26" s="8"/>
      <c r="B26" s="11"/>
      <c r="C26" s="8"/>
      <c r="D26" s="8"/>
      <c r="E26" s="8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</row>
    <row r="27" spans="1:715" s="2" customFormat="1" ht="50" customHeight="1" x14ac:dyDescent="0.2">
      <c r="A27" s="8"/>
      <c r="B27" s="11"/>
      <c r="C27" s="8"/>
      <c r="D27" s="8"/>
      <c r="E27" s="8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</row>
    <row r="28" spans="1:715" s="2" customFormat="1" ht="50" customHeight="1" x14ac:dyDescent="0.2">
      <c r="A28" s="8"/>
      <c r="B28" s="11"/>
      <c r="C28" s="8"/>
      <c r="D28" s="8"/>
      <c r="E28" s="8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19"/>
      <c r="FF28" s="18"/>
      <c r="FG28" s="20"/>
      <c r="FH28" s="20"/>
      <c r="FI28" s="19"/>
      <c r="FJ28" s="18"/>
      <c r="FK28" s="20"/>
      <c r="FL28" s="20"/>
      <c r="FM28" s="19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</row>
    <row r="29" spans="1:715" s="2" customFormat="1" ht="50" customHeight="1" x14ac:dyDescent="0.2">
      <c r="A29" s="8"/>
      <c r="B29" s="11"/>
      <c r="C29" s="8"/>
      <c r="D29" s="8"/>
      <c r="E29" s="8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19"/>
      <c r="FF29" s="18"/>
      <c r="FG29" s="20"/>
      <c r="FH29" s="20"/>
      <c r="FI29" s="19"/>
      <c r="FJ29" s="18"/>
      <c r="FK29" s="20"/>
      <c r="FL29" s="20"/>
      <c r="FM29" s="19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</row>
    <row r="30" spans="1:715" s="2" customFormat="1" ht="50" customHeight="1" x14ac:dyDescent="0.2">
      <c r="A30" s="8"/>
      <c r="B30" s="11"/>
      <c r="C30" s="8"/>
      <c r="D30" s="8"/>
      <c r="E30" s="8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</row>
    <row r="31" spans="1:715" s="2" customFormat="1" ht="50" customHeight="1" x14ac:dyDescent="0.2">
      <c r="A31" s="8"/>
      <c r="B31" s="11"/>
      <c r="C31" s="8"/>
      <c r="D31" s="8"/>
      <c r="E31" s="8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</row>
    <row r="32" spans="1:715" s="2" customFormat="1" ht="50" customHeight="1" x14ac:dyDescent="0.2">
      <c r="A32" s="8"/>
      <c r="B32" s="11"/>
      <c r="C32" s="8"/>
      <c r="D32" s="8"/>
      <c r="E32" s="8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19"/>
      <c r="FF32" s="18"/>
      <c r="FG32" s="20"/>
      <c r="FH32" s="20"/>
      <c r="FI32" s="19"/>
      <c r="FJ32" s="18"/>
      <c r="FK32" s="20"/>
      <c r="FL32" s="20"/>
      <c r="FM32" s="19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</row>
    <row r="33" spans="1:715" s="2" customFormat="1" ht="50" customHeight="1" x14ac:dyDescent="0.2">
      <c r="A33" s="8"/>
      <c r="B33" s="11"/>
      <c r="C33" s="8"/>
      <c r="D33" s="8"/>
      <c r="E33" s="8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19"/>
      <c r="FF33" s="18"/>
      <c r="FG33" s="20"/>
      <c r="FH33" s="20"/>
      <c r="FI33" s="19"/>
      <c r="FJ33" s="18"/>
      <c r="FK33" s="20"/>
      <c r="FL33" s="20"/>
      <c r="FM33" s="19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</row>
    <row r="34" spans="1:715" s="2" customFormat="1" ht="50" customHeight="1" x14ac:dyDescent="0.2">
      <c r="A34" s="8"/>
      <c r="B34" s="11"/>
      <c r="C34" s="8"/>
      <c r="D34" s="8"/>
      <c r="E34" s="8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</row>
    <row r="35" spans="1:715" s="2" customFormat="1" ht="50" customHeight="1" x14ac:dyDescent="0.2">
      <c r="A35" s="8"/>
      <c r="B35" s="11"/>
      <c r="C35" s="8"/>
      <c r="D35" s="8"/>
      <c r="E35" s="8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</row>
    <row r="36" spans="1:715" s="2" customFormat="1" ht="50" customHeight="1" x14ac:dyDescent="0.2">
      <c r="A36" s="8"/>
      <c r="B36" s="11"/>
      <c r="C36" s="8"/>
      <c r="D36" s="8"/>
      <c r="E36" s="8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19"/>
      <c r="FF36" s="18"/>
      <c r="FG36" s="20"/>
      <c r="FH36" s="20"/>
      <c r="FI36" s="19"/>
      <c r="FJ36" s="18"/>
      <c r="FK36" s="20"/>
      <c r="FL36" s="20"/>
      <c r="FM36" s="19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</row>
    <row r="37" spans="1:715" s="2" customFormat="1" ht="50" customHeight="1" x14ac:dyDescent="0.2">
      <c r="A37" s="8"/>
      <c r="B37" s="11"/>
      <c r="C37" s="8"/>
      <c r="D37" s="8"/>
      <c r="E37" s="8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19"/>
      <c r="FF37" s="18"/>
      <c r="FG37" s="20"/>
      <c r="FH37" s="20"/>
      <c r="FI37" s="19"/>
      <c r="FJ37" s="18"/>
      <c r="FK37" s="20"/>
      <c r="FL37" s="20"/>
      <c r="FM37" s="19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</row>
    <row r="38" spans="1:715" s="2" customFormat="1" ht="50" customHeight="1" x14ac:dyDescent="0.2">
      <c r="A38" s="8"/>
      <c r="B38" s="11"/>
      <c r="C38" s="8"/>
      <c r="D38" s="8"/>
      <c r="E38" s="8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/>
      <c r="FS38" s="18"/>
      <c r="FT38" s="18"/>
      <c r="FU38" s="18"/>
      <c r="FV38" s="18"/>
      <c r="FW38" s="18"/>
      <c r="FX38" s="18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</row>
    <row r="39" spans="1:715" s="2" customFormat="1" ht="50" customHeight="1" x14ac:dyDescent="0.2">
      <c r="A39" s="8"/>
      <c r="B39" s="11"/>
      <c r="C39" s="8"/>
      <c r="D39" s="8"/>
      <c r="E39" s="8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</row>
    <row r="40" spans="1:715" s="2" customFormat="1" ht="50" customHeight="1" x14ac:dyDescent="0.2">
      <c r="A40" s="8"/>
      <c r="B40" s="11"/>
      <c r="C40" s="8"/>
      <c r="D40" s="8"/>
      <c r="E40" s="8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19"/>
      <c r="FF40" s="18"/>
      <c r="FG40" s="20"/>
      <c r="FH40" s="20"/>
      <c r="FI40" s="19"/>
      <c r="FJ40" s="18"/>
      <c r="FK40" s="20"/>
      <c r="FL40" s="20"/>
      <c r="FM40" s="19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</row>
    <row r="41" spans="1:715" s="2" customFormat="1" ht="50" customHeight="1" x14ac:dyDescent="0.2">
      <c r="A41" s="8"/>
      <c r="B41" s="11"/>
      <c r="C41" s="8"/>
      <c r="D41" s="8"/>
      <c r="E41" s="8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19"/>
      <c r="FF41" s="18"/>
      <c r="FG41" s="20"/>
      <c r="FH41" s="20"/>
      <c r="FI41" s="19"/>
      <c r="FJ41" s="18"/>
      <c r="FK41" s="20"/>
      <c r="FL41" s="20"/>
      <c r="FM41" s="19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</row>
    <row r="42" spans="1:715" s="2" customFormat="1" ht="50" customHeight="1" x14ac:dyDescent="0.2">
      <c r="A42" s="8"/>
      <c r="B42" s="11"/>
      <c r="C42" s="8"/>
      <c r="D42" s="8"/>
      <c r="E42" s="8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</row>
    <row r="43" spans="1:715" s="2" customFormat="1" ht="50" customHeight="1" x14ac:dyDescent="0.2">
      <c r="A43" s="8"/>
      <c r="B43" s="11"/>
      <c r="C43" s="8"/>
      <c r="D43" s="8"/>
      <c r="E43" s="8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18"/>
      <c r="FF43" s="18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18"/>
      <c r="FV43" s="18"/>
      <c r="FW43" s="18"/>
      <c r="FX43" s="18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</row>
    <row r="44" spans="1:715" s="2" customFormat="1" ht="50" customHeight="1" x14ac:dyDescent="0.2">
      <c r="A44" s="8"/>
      <c r="B44" s="11"/>
      <c r="C44" s="8"/>
      <c r="D44" s="8"/>
      <c r="E44" s="8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19"/>
      <c r="FF44" s="18"/>
      <c r="FG44" s="20"/>
      <c r="FH44" s="20"/>
      <c r="FI44" s="19"/>
      <c r="FJ44" s="18"/>
      <c r="FK44" s="20"/>
      <c r="FL44" s="20"/>
      <c r="FM44" s="19"/>
      <c r="FN44" s="18"/>
      <c r="FO44" s="18"/>
      <c r="FP44" s="18"/>
      <c r="FQ44" s="18"/>
      <c r="FR44" s="18"/>
      <c r="FS44" s="18"/>
      <c r="FT44" s="18"/>
      <c r="FU44" s="18"/>
      <c r="FV44" s="18"/>
      <c r="FW44" s="18"/>
      <c r="FX44" s="18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</row>
    <row r="45" spans="1:715" s="2" customFormat="1" ht="50" customHeight="1" x14ac:dyDescent="0.2">
      <c r="A45" s="8"/>
      <c r="B45" s="11"/>
      <c r="C45" s="8"/>
      <c r="D45" s="8"/>
      <c r="E45" s="8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19"/>
      <c r="FF45" s="18"/>
      <c r="FG45" s="20"/>
      <c r="FH45" s="20"/>
      <c r="FI45" s="19"/>
      <c r="FJ45" s="18"/>
      <c r="FK45" s="20"/>
      <c r="FL45" s="20"/>
      <c r="FM45" s="19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</row>
    <row r="46" spans="1:715" s="2" customFormat="1" ht="50" customHeight="1" x14ac:dyDescent="0.2">
      <c r="A46" s="8"/>
      <c r="B46" s="11"/>
      <c r="C46" s="8"/>
      <c r="D46" s="8"/>
      <c r="E46" s="8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18"/>
      <c r="FF46" s="18"/>
      <c r="FG46" s="18"/>
      <c r="FH46" s="18"/>
      <c r="FI46" s="18"/>
      <c r="FJ46" s="18"/>
      <c r="FK46" s="18"/>
      <c r="FL46" s="18"/>
      <c r="FM46" s="18"/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</row>
    <row r="47" spans="1:715" s="2" customFormat="1" ht="50" customHeight="1" x14ac:dyDescent="0.2">
      <c r="A47" s="8"/>
      <c r="B47" s="11"/>
      <c r="C47" s="8"/>
      <c r="D47" s="8"/>
      <c r="E47" s="8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18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18"/>
      <c r="FU47" s="18"/>
      <c r="FV47" s="18"/>
      <c r="FW47" s="18"/>
      <c r="FX47" s="18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</row>
    <row r="48" spans="1:715" s="2" customFormat="1" ht="50" customHeight="1" x14ac:dyDescent="0.2">
      <c r="A48" s="8"/>
      <c r="B48" s="11"/>
      <c r="C48" s="8"/>
      <c r="D48" s="8"/>
      <c r="E48" s="8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19"/>
      <c r="FF48" s="18"/>
      <c r="FG48" s="20"/>
      <c r="FH48" s="20"/>
      <c r="FI48" s="19"/>
      <c r="FJ48" s="18"/>
      <c r="FK48" s="20"/>
      <c r="FL48" s="20"/>
      <c r="FM48" s="19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</row>
    <row r="49" spans="1:715" s="2" customFormat="1" ht="50" customHeight="1" x14ac:dyDescent="0.2">
      <c r="A49" s="8"/>
      <c r="B49" s="11"/>
      <c r="C49" s="8"/>
      <c r="D49" s="8"/>
      <c r="E49" s="8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19"/>
      <c r="FF49" s="18"/>
      <c r="FG49" s="20"/>
      <c r="FH49" s="20"/>
      <c r="FI49" s="19"/>
      <c r="FJ49" s="18"/>
      <c r="FK49" s="20"/>
      <c r="FL49" s="20"/>
      <c r="FM49" s="19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</row>
    <row r="50" spans="1:715" s="2" customFormat="1" ht="50" customHeight="1" x14ac:dyDescent="0.2">
      <c r="A50" s="8"/>
      <c r="B50" s="11"/>
      <c r="C50" s="8"/>
      <c r="D50" s="8"/>
      <c r="E50" s="8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</row>
    <row r="51" spans="1:715" s="2" customFormat="1" ht="50" customHeight="1" x14ac:dyDescent="0.2">
      <c r="A51" s="8"/>
      <c r="B51" s="11"/>
      <c r="C51" s="8"/>
      <c r="D51" s="8"/>
      <c r="E51" s="8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</row>
    <row r="52" spans="1:715" s="2" customFormat="1" ht="50" customHeight="1" x14ac:dyDescent="0.2">
      <c r="A52" s="8"/>
      <c r="B52" s="11"/>
      <c r="C52" s="8"/>
      <c r="D52" s="8"/>
      <c r="E52" s="8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19"/>
      <c r="FF52" s="18"/>
      <c r="FG52" s="20"/>
      <c r="FH52" s="20"/>
      <c r="FI52" s="19"/>
      <c r="FJ52" s="18"/>
      <c r="FK52" s="20"/>
      <c r="FL52" s="20"/>
      <c r="FM52" s="19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</row>
    <row r="53" spans="1:715" s="2" customFormat="1" ht="50" customHeight="1" x14ac:dyDescent="0.2">
      <c r="A53" s="8"/>
      <c r="B53" s="11"/>
      <c r="C53" s="8"/>
      <c r="D53" s="8"/>
      <c r="E53" s="8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19"/>
      <c r="FF53" s="18"/>
      <c r="FG53" s="20"/>
      <c r="FH53" s="20"/>
      <c r="FI53" s="19"/>
      <c r="FJ53" s="18"/>
      <c r="FK53" s="20"/>
      <c r="FL53" s="20"/>
      <c r="FM53" s="19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</row>
    <row r="54" spans="1:715" s="2" customFormat="1" ht="50" customHeight="1" x14ac:dyDescent="0.2">
      <c r="A54" s="8"/>
      <c r="B54" s="11"/>
      <c r="C54" s="8"/>
      <c r="D54" s="8"/>
      <c r="E54" s="8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</row>
    <row r="55" spans="1:715" s="2" customFormat="1" ht="50" customHeight="1" x14ac:dyDescent="0.2">
      <c r="A55" s="8"/>
      <c r="B55" s="11"/>
      <c r="C55" s="8"/>
      <c r="D55" s="8"/>
      <c r="E55" s="8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</row>
    <row r="56" spans="1:715" s="2" customFormat="1" ht="50" customHeight="1" x14ac:dyDescent="0.2">
      <c r="A56" s="8"/>
      <c r="B56" s="11"/>
      <c r="C56" s="8"/>
      <c r="D56" s="8"/>
      <c r="E56" s="8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19"/>
      <c r="FF56" s="18"/>
      <c r="FG56" s="20"/>
      <c r="FH56" s="20"/>
      <c r="FI56" s="19"/>
      <c r="FJ56" s="18"/>
      <c r="FK56" s="20"/>
      <c r="FL56" s="20"/>
      <c r="FM56" s="19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</row>
    <row r="57" spans="1:715" s="2" customFormat="1" ht="50" customHeight="1" x14ac:dyDescent="0.2">
      <c r="A57" s="8"/>
      <c r="B57" s="11"/>
      <c r="C57" s="8"/>
      <c r="D57" s="8"/>
      <c r="E57" s="8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19"/>
      <c r="FF57" s="18"/>
      <c r="FG57" s="20"/>
      <c r="FH57" s="20"/>
      <c r="FI57" s="19"/>
      <c r="FJ57" s="18"/>
      <c r="FK57" s="20"/>
      <c r="FL57" s="20"/>
      <c r="FM57" s="19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</row>
    <row r="58" spans="1:715" s="2" customFormat="1" ht="50" customHeight="1" x14ac:dyDescent="0.2">
      <c r="A58" s="8"/>
      <c r="B58" s="11"/>
      <c r="C58" s="8"/>
      <c r="D58" s="8"/>
      <c r="E58" s="8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</row>
    <row r="59" spans="1:715" s="2" customFormat="1" ht="50" customHeight="1" x14ac:dyDescent="0.2">
      <c r="A59" s="8"/>
      <c r="B59" s="11"/>
      <c r="C59" s="8"/>
      <c r="D59" s="8"/>
      <c r="E59" s="8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</row>
    <row r="60" spans="1:715" s="2" customFormat="1" ht="50" customHeight="1" x14ac:dyDescent="0.2">
      <c r="A60" s="8"/>
      <c r="B60" s="11"/>
      <c r="C60" s="8"/>
      <c r="D60" s="8"/>
      <c r="E60" s="8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19"/>
      <c r="FF60" s="18"/>
      <c r="FG60" s="20"/>
      <c r="FH60" s="20"/>
      <c r="FI60" s="19"/>
      <c r="FJ60" s="18"/>
      <c r="FK60" s="20"/>
      <c r="FL60" s="20"/>
      <c r="FM60" s="19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</row>
    <row r="61" spans="1:715" s="2" customFormat="1" ht="50" customHeight="1" x14ac:dyDescent="0.2">
      <c r="A61" s="8"/>
      <c r="B61" s="11"/>
      <c r="C61" s="8"/>
      <c r="D61" s="8"/>
      <c r="E61" s="8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19"/>
      <c r="FF61" s="18"/>
      <c r="FG61" s="20"/>
      <c r="FH61" s="20"/>
      <c r="FI61" s="19"/>
      <c r="FJ61" s="18"/>
      <c r="FK61" s="20"/>
      <c r="FL61" s="20"/>
      <c r="FM61" s="19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</row>
    <row r="62" spans="1:715" s="2" customFormat="1" ht="50" customHeight="1" x14ac:dyDescent="0.2">
      <c r="A62" s="8"/>
      <c r="B62" s="11"/>
      <c r="C62" s="8"/>
      <c r="D62" s="8"/>
      <c r="E62" s="8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</row>
    <row r="63" spans="1:715" s="2" customFormat="1" ht="50" customHeight="1" x14ac:dyDescent="0.2">
      <c r="A63" s="8"/>
      <c r="B63" s="11"/>
      <c r="C63" s="8"/>
      <c r="D63" s="8"/>
      <c r="E63" s="8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</row>
    <row r="64" spans="1:715" s="2" customFormat="1" ht="50" customHeight="1" x14ac:dyDescent="0.2">
      <c r="A64" s="8"/>
      <c r="B64" s="11"/>
      <c r="C64" s="8"/>
      <c r="D64" s="8"/>
      <c r="E64" s="8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19"/>
      <c r="FF64" s="18"/>
      <c r="FG64" s="20"/>
      <c r="FH64" s="20"/>
      <c r="FI64" s="19"/>
      <c r="FJ64" s="18"/>
      <c r="FK64" s="20"/>
      <c r="FL64" s="20"/>
      <c r="FM64" s="19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</row>
    <row r="65" spans="1:715" s="2" customFormat="1" ht="50" customHeight="1" x14ac:dyDescent="0.2">
      <c r="A65" s="8"/>
      <c r="B65" s="11"/>
      <c r="C65" s="8"/>
      <c r="D65" s="8"/>
      <c r="E65" s="8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19"/>
      <c r="FF65" s="18"/>
      <c r="FG65" s="20"/>
      <c r="FH65" s="20"/>
      <c r="FI65" s="19"/>
      <c r="FJ65" s="18"/>
      <c r="FK65" s="20"/>
      <c r="FL65" s="20"/>
      <c r="FM65" s="19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</row>
    <row r="66" spans="1:715" s="2" customFormat="1" ht="50" customHeight="1" x14ac:dyDescent="0.2">
      <c r="A66" s="8"/>
      <c r="B66" s="11"/>
      <c r="C66" s="8"/>
      <c r="D66" s="8"/>
      <c r="E66" s="8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</row>
    <row r="67" spans="1:715" s="2" customFormat="1" ht="50" customHeight="1" x14ac:dyDescent="0.2">
      <c r="A67" s="8"/>
      <c r="B67" s="11"/>
      <c r="C67" s="8"/>
      <c r="D67" s="8"/>
      <c r="E67" s="8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</row>
    <row r="68" spans="1:715" s="2" customFormat="1" ht="50" customHeight="1" x14ac:dyDescent="0.2">
      <c r="A68" s="8"/>
      <c r="B68" s="11"/>
      <c r="C68" s="8"/>
      <c r="D68" s="8"/>
      <c r="E68" s="8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19"/>
      <c r="FF68" s="18"/>
      <c r="FG68" s="20"/>
      <c r="FH68" s="20"/>
      <c r="FI68" s="19"/>
      <c r="FJ68" s="18"/>
      <c r="FK68" s="20"/>
      <c r="FL68" s="20"/>
      <c r="FM68" s="19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</row>
    <row r="69" spans="1:715" s="2" customFormat="1" ht="50" customHeight="1" x14ac:dyDescent="0.2">
      <c r="A69" s="8"/>
      <c r="B69" s="11"/>
      <c r="C69" s="8"/>
      <c r="D69" s="8"/>
      <c r="E69" s="8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19"/>
      <c r="FF69" s="18"/>
      <c r="FG69" s="20"/>
      <c r="FH69" s="20"/>
      <c r="FI69" s="19"/>
      <c r="FJ69" s="18"/>
      <c r="FK69" s="20"/>
      <c r="FL69" s="20"/>
      <c r="FM69" s="19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</row>
    <row r="70" spans="1:715" s="2" customFormat="1" ht="50" customHeight="1" x14ac:dyDescent="0.2">
      <c r="A70" s="8"/>
      <c r="B70" s="11"/>
      <c r="C70" s="8"/>
      <c r="D70" s="8"/>
      <c r="E70" s="8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</row>
    <row r="71" spans="1:715" s="2" customFormat="1" ht="50" customHeight="1" x14ac:dyDescent="0.2">
      <c r="A71" s="8"/>
      <c r="B71" s="11"/>
      <c r="C71" s="8"/>
      <c r="D71" s="8"/>
      <c r="E71" s="8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</row>
    <row r="72" spans="1:715" s="2" customFormat="1" ht="50" customHeight="1" x14ac:dyDescent="0.2">
      <c r="A72" s="8"/>
      <c r="B72" s="11"/>
      <c r="C72" s="8"/>
      <c r="D72" s="8"/>
      <c r="E72" s="8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19"/>
      <c r="FF72" s="18"/>
      <c r="FG72" s="20"/>
      <c r="FH72" s="20"/>
      <c r="FI72" s="19"/>
      <c r="FJ72" s="18"/>
      <c r="FK72" s="20"/>
      <c r="FL72" s="20"/>
      <c r="FM72" s="19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</row>
    <row r="73" spans="1:715" s="2" customFormat="1" ht="50" customHeight="1" x14ac:dyDescent="0.2">
      <c r="A73" s="8"/>
      <c r="B73" s="11"/>
      <c r="C73" s="8"/>
      <c r="D73" s="8"/>
      <c r="E73" s="8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19"/>
      <c r="FF73" s="18"/>
      <c r="FG73" s="20"/>
      <c r="FH73" s="20"/>
      <c r="FI73" s="19"/>
      <c r="FJ73" s="18"/>
      <c r="FK73" s="20"/>
      <c r="FL73" s="20"/>
      <c r="FM73" s="19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</row>
    <row r="74" spans="1:715" s="2" customFormat="1" ht="50" customHeight="1" x14ac:dyDescent="0.2">
      <c r="A74" s="8"/>
      <c r="B74" s="11"/>
      <c r="C74" s="8"/>
      <c r="D74" s="8"/>
      <c r="E74" s="8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</row>
    <row r="75" spans="1:715" s="2" customFormat="1" ht="50" customHeight="1" x14ac:dyDescent="0.2">
      <c r="A75" s="8"/>
      <c r="B75" s="11"/>
      <c r="C75" s="8"/>
      <c r="D75" s="8"/>
      <c r="E75" s="8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</row>
    <row r="76" spans="1:715" s="2" customFormat="1" ht="50" customHeight="1" x14ac:dyDescent="0.2">
      <c r="A76" s="8"/>
      <c r="B76" s="11"/>
      <c r="C76" s="8"/>
      <c r="D76" s="8"/>
      <c r="E76" s="8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19"/>
      <c r="FF76" s="18"/>
      <c r="FG76" s="20"/>
      <c r="FH76" s="20"/>
      <c r="FI76" s="19"/>
      <c r="FJ76" s="18"/>
      <c r="FK76" s="20"/>
      <c r="FL76" s="20"/>
      <c r="FM76" s="19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</row>
    <row r="77" spans="1:715" s="2" customFormat="1" ht="50" customHeight="1" x14ac:dyDescent="0.2">
      <c r="A77" s="8"/>
      <c r="B77" s="11"/>
      <c r="C77" s="8"/>
      <c r="D77" s="8"/>
      <c r="E77" s="8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19"/>
      <c r="FF77" s="18"/>
      <c r="FG77" s="20"/>
      <c r="FH77" s="20"/>
      <c r="FI77" s="19"/>
      <c r="FJ77" s="18"/>
      <c r="FK77" s="20"/>
      <c r="FL77" s="20"/>
      <c r="FM77" s="19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</row>
    <row r="78" spans="1:715" s="2" customFormat="1" ht="50" customHeight="1" x14ac:dyDescent="0.2">
      <c r="A78" s="8"/>
      <c r="B78" s="11"/>
      <c r="C78" s="8"/>
      <c r="D78" s="8"/>
      <c r="E78" s="8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</row>
    <row r="79" spans="1:715" s="2" customFormat="1" ht="50" customHeight="1" x14ac:dyDescent="0.2">
      <c r="A79" s="8"/>
      <c r="B79" s="11"/>
      <c r="C79" s="8"/>
      <c r="D79" s="8"/>
      <c r="E79" s="8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</row>
    <row r="80" spans="1:715" s="2" customFormat="1" ht="50" customHeight="1" x14ac:dyDescent="0.2">
      <c r="A80" s="8"/>
      <c r="B80" s="11"/>
      <c r="C80" s="8"/>
      <c r="D80" s="8"/>
      <c r="E80" s="8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19"/>
      <c r="FF80" s="18"/>
      <c r="FG80" s="20"/>
      <c r="FH80" s="20"/>
      <c r="FI80" s="19"/>
      <c r="FJ80" s="18"/>
      <c r="FK80" s="20"/>
      <c r="FL80" s="20"/>
      <c r="FM80" s="19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</row>
    <row r="81" spans="1:715" s="2" customFormat="1" ht="50" customHeight="1" x14ac:dyDescent="0.2">
      <c r="A81" s="8"/>
      <c r="B81" s="11"/>
      <c r="C81" s="8"/>
      <c r="D81" s="8"/>
      <c r="E81" s="8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19"/>
      <c r="FF81" s="18"/>
      <c r="FG81" s="20"/>
      <c r="FH81" s="20"/>
      <c r="FI81" s="19"/>
      <c r="FJ81" s="18"/>
      <c r="FK81" s="20"/>
      <c r="FL81" s="20"/>
      <c r="FM81" s="19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</row>
    <row r="82" spans="1:715" s="2" customFormat="1" ht="50" customHeight="1" x14ac:dyDescent="0.2">
      <c r="A82" s="8"/>
      <c r="B82" s="11"/>
      <c r="C82" s="8"/>
      <c r="D82" s="8"/>
      <c r="E82" s="8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</row>
    <row r="83" spans="1:715" s="2" customFormat="1" ht="50" customHeight="1" x14ac:dyDescent="0.2">
      <c r="A83" s="8"/>
      <c r="B83" s="11"/>
      <c r="C83" s="8"/>
      <c r="D83" s="8"/>
      <c r="E83" s="8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</row>
    <row r="84" spans="1:715" s="2" customFormat="1" ht="50" customHeight="1" x14ac:dyDescent="0.2">
      <c r="A84" s="8"/>
      <c r="B84" s="11"/>
      <c r="C84" s="8"/>
      <c r="D84" s="8"/>
      <c r="E84" s="8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19"/>
      <c r="FF84" s="18"/>
      <c r="FG84" s="20"/>
      <c r="FH84" s="20"/>
      <c r="FI84" s="19"/>
      <c r="FJ84" s="18"/>
      <c r="FK84" s="20"/>
      <c r="FL84" s="20"/>
      <c r="FM84" s="19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</row>
    <row r="85" spans="1:715" s="2" customFormat="1" ht="50" customHeight="1" x14ac:dyDescent="0.2">
      <c r="A85" s="8"/>
      <c r="B85" s="11"/>
      <c r="C85" s="8"/>
      <c r="D85" s="8"/>
      <c r="E85" s="8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19"/>
      <c r="FF85" s="18"/>
      <c r="FG85" s="20"/>
      <c r="FH85" s="20"/>
      <c r="FI85" s="19"/>
      <c r="FJ85" s="18"/>
      <c r="FK85" s="20"/>
      <c r="FL85" s="20"/>
      <c r="FM85" s="19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</row>
    <row r="86" spans="1:715" s="2" customFormat="1" ht="50" customHeight="1" x14ac:dyDescent="0.2">
      <c r="A86" s="8"/>
      <c r="B86" s="11"/>
      <c r="C86" s="8"/>
      <c r="D86" s="8"/>
      <c r="E86" s="8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18"/>
      <c r="FF86" s="18"/>
      <c r="FG86" s="18"/>
      <c r="FH86" s="18"/>
      <c r="FI86" s="18"/>
      <c r="FJ86" s="18"/>
      <c r="FK86" s="18"/>
      <c r="FL86" s="18"/>
      <c r="FM86" s="18"/>
      <c r="FN86" s="18"/>
      <c r="FO86" s="18"/>
      <c r="FP86" s="18"/>
      <c r="FQ86" s="18"/>
      <c r="FR86" s="18"/>
      <c r="FS86" s="18"/>
      <c r="FT86" s="18"/>
      <c r="FU86" s="18"/>
      <c r="FV86" s="18"/>
      <c r="FW86" s="18"/>
      <c r="FX86" s="18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</row>
    <row r="87" spans="1:715" s="2" customFormat="1" ht="50" customHeight="1" x14ac:dyDescent="0.2">
      <c r="A87" s="8"/>
      <c r="B87" s="11"/>
      <c r="C87" s="8"/>
      <c r="D87" s="8"/>
      <c r="E87" s="8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</row>
    <row r="88" spans="1:715" s="2" customFormat="1" ht="50" customHeight="1" x14ac:dyDescent="0.2">
      <c r="A88" s="8"/>
      <c r="B88" s="11"/>
      <c r="C88" s="8"/>
      <c r="D88" s="8"/>
      <c r="E88" s="8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19"/>
      <c r="FF88" s="18"/>
      <c r="FG88" s="20"/>
      <c r="FH88" s="20"/>
      <c r="FI88" s="19"/>
      <c r="FJ88" s="18"/>
      <c r="FK88" s="20"/>
      <c r="FL88" s="20"/>
      <c r="FM88" s="19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</row>
    <row r="89" spans="1:715" s="2" customFormat="1" ht="50" customHeight="1" x14ac:dyDescent="0.2">
      <c r="A89" s="8"/>
      <c r="B89" s="11"/>
      <c r="C89" s="8"/>
      <c r="D89" s="8"/>
      <c r="E89" s="8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19"/>
      <c r="FF89" s="18"/>
      <c r="FG89" s="20"/>
      <c r="FH89" s="20"/>
      <c r="FI89" s="19"/>
      <c r="FJ89" s="18"/>
      <c r="FK89" s="20"/>
      <c r="FL89" s="20"/>
      <c r="FM89" s="19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</row>
    <row r="90" spans="1:715" s="2" customFormat="1" ht="50" customHeight="1" x14ac:dyDescent="0.2">
      <c r="A90" s="8"/>
      <c r="B90" s="11"/>
      <c r="C90" s="8"/>
      <c r="D90" s="8"/>
      <c r="E90" s="8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</row>
    <row r="91" spans="1:715" s="2" customFormat="1" ht="50" customHeight="1" x14ac:dyDescent="0.2">
      <c r="A91" s="8"/>
      <c r="B91" s="11"/>
      <c r="C91" s="8"/>
      <c r="D91" s="8"/>
      <c r="E91" s="8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18"/>
      <c r="FF91" s="18"/>
      <c r="FG91" s="18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</row>
    <row r="92" spans="1:715" s="2" customFormat="1" ht="50" customHeight="1" x14ac:dyDescent="0.2">
      <c r="A92" s="8"/>
      <c r="B92" s="11"/>
      <c r="C92" s="8"/>
      <c r="D92" s="8"/>
      <c r="E92" s="8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19"/>
      <c r="FF92" s="18"/>
      <c r="FG92" s="20"/>
      <c r="FH92" s="20"/>
      <c r="FI92" s="19"/>
      <c r="FJ92" s="18"/>
      <c r="FK92" s="20"/>
      <c r="FL92" s="20"/>
      <c r="FM92" s="19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</row>
    <row r="93" spans="1:715" s="2" customFormat="1" ht="50" customHeight="1" x14ac:dyDescent="0.2">
      <c r="A93" s="8"/>
      <c r="B93" s="11"/>
      <c r="C93" s="8"/>
      <c r="D93" s="8"/>
      <c r="E93" s="8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19"/>
      <c r="FF93" s="18"/>
      <c r="FG93" s="20"/>
      <c r="FH93" s="20"/>
      <c r="FI93" s="19"/>
      <c r="FJ93" s="18"/>
      <c r="FK93" s="20"/>
      <c r="FL93" s="20"/>
      <c r="FM93" s="19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</row>
    <row r="94" spans="1:715" s="2" customFormat="1" ht="50" customHeight="1" x14ac:dyDescent="0.2">
      <c r="A94" s="8"/>
      <c r="B94" s="11"/>
      <c r="C94" s="8"/>
      <c r="D94" s="8"/>
      <c r="E94" s="8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</row>
    <row r="95" spans="1:715" s="2" customFormat="1" ht="50" customHeight="1" x14ac:dyDescent="0.2">
      <c r="A95" s="8"/>
      <c r="B95" s="11"/>
      <c r="C95" s="8"/>
      <c r="D95" s="8"/>
      <c r="E95" s="8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</row>
    <row r="96" spans="1:715" s="2" customFormat="1" ht="50" customHeight="1" x14ac:dyDescent="0.2">
      <c r="A96" s="8"/>
      <c r="B96" s="11"/>
      <c r="C96" s="8"/>
      <c r="D96" s="8"/>
      <c r="E96" s="8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19"/>
      <c r="FF96" s="18"/>
      <c r="FG96" s="20"/>
      <c r="FH96" s="20"/>
      <c r="FI96" s="19"/>
      <c r="FJ96" s="18"/>
      <c r="FK96" s="20"/>
      <c r="FL96" s="20"/>
      <c r="FM96" s="19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</row>
    <row r="97" spans="1:715" s="2" customFormat="1" ht="50" customHeight="1" x14ac:dyDescent="0.2">
      <c r="A97" s="8"/>
      <c r="B97" s="11"/>
      <c r="C97" s="8"/>
      <c r="D97" s="8"/>
      <c r="E97" s="8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19"/>
      <c r="FF97" s="18"/>
      <c r="FG97" s="20"/>
      <c r="FH97" s="20"/>
      <c r="FI97" s="19"/>
      <c r="FJ97" s="18"/>
      <c r="FK97" s="20"/>
      <c r="FL97" s="20"/>
      <c r="FM97" s="19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</row>
    <row r="98" spans="1:715" s="2" customFormat="1" ht="50" customHeight="1" x14ac:dyDescent="0.2">
      <c r="A98" s="8"/>
      <c r="B98" s="11"/>
      <c r="C98" s="8"/>
      <c r="D98" s="8"/>
      <c r="E98" s="8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18"/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</row>
    <row r="99" spans="1:715" s="2" customFormat="1" ht="50" customHeight="1" x14ac:dyDescent="0.2">
      <c r="A99" s="8"/>
      <c r="B99" s="11"/>
      <c r="C99" s="8"/>
      <c r="D99" s="8"/>
      <c r="E99" s="8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18"/>
      <c r="FF99" s="18"/>
      <c r="FG99" s="18"/>
      <c r="FH99" s="18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</row>
    <row r="100" spans="1:715" s="2" customFormat="1" ht="50" customHeight="1" x14ac:dyDescent="0.2">
      <c r="A100" s="8"/>
      <c r="B100" s="11"/>
      <c r="C100" s="8"/>
      <c r="D100" s="8"/>
      <c r="E100" s="8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19"/>
      <c r="FF100" s="18"/>
      <c r="FG100" s="20"/>
      <c r="FH100" s="20"/>
      <c r="FI100" s="19"/>
      <c r="FJ100" s="18"/>
      <c r="FK100" s="20"/>
      <c r="FL100" s="20"/>
      <c r="FM100" s="19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</row>
    <row r="101" spans="1:715" s="2" customFormat="1" ht="50" customHeight="1" x14ac:dyDescent="0.2">
      <c r="A101" s="8"/>
      <c r="B101" s="11"/>
      <c r="C101" s="8"/>
      <c r="D101" s="8"/>
      <c r="E101" s="8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19"/>
      <c r="FF101" s="18"/>
      <c r="FG101" s="20"/>
      <c r="FH101" s="20"/>
      <c r="FI101" s="19"/>
      <c r="FJ101" s="18"/>
      <c r="FK101" s="20"/>
      <c r="FL101" s="20"/>
      <c r="FM101" s="19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</row>
    <row r="102" spans="1:715" s="2" customFormat="1" ht="50" customHeight="1" x14ac:dyDescent="0.2">
      <c r="A102" s="8"/>
      <c r="B102" s="11"/>
      <c r="C102" s="8"/>
      <c r="D102" s="8"/>
      <c r="E102" s="8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</row>
    <row r="103" spans="1:715" s="2" customFormat="1" ht="50" customHeight="1" x14ac:dyDescent="0.2">
      <c r="A103" s="8"/>
      <c r="B103" s="11"/>
      <c r="C103" s="8"/>
      <c r="D103" s="8"/>
      <c r="E103" s="8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</row>
    <row r="104" spans="1:715" s="2" customFormat="1" ht="50" customHeight="1" x14ac:dyDescent="0.2">
      <c r="A104" s="8"/>
      <c r="B104" s="11"/>
      <c r="C104" s="8"/>
      <c r="D104" s="8"/>
      <c r="E104" s="8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19"/>
      <c r="FF104" s="18"/>
      <c r="FG104" s="20"/>
      <c r="FH104" s="20"/>
      <c r="FI104" s="19"/>
      <c r="FJ104" s="18"/>
      <c r="FK104" s="20"/>
      <c r="FL104" s="20"/>
      <c r="FM104" s="19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</row>
    <row r="105" spans="1:715" s="2" customFormat="1" ht="50" customHeight="1" x14ac:dyDescent="0.2">
      <c r="A105" s="8"/>
      <c r="B105" s="11"/>
      <c r="C105" s="8"/>
      <c r="D105" s="8"/>
      <c r="E105" s="8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19"/>
      <c r="FF105" s="18"/>
      <c r="FG105" s="20"/>
      <c r="FH105" s="20"/>
      <c r="FI105" s="19"/>
      <c r="FJ105" s="18"/>
      <c r="FK105" s="20"/>
      <c r="FL105" s="20"/>
      <c r="FM105" s="19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</row>
    <row r="106" spans="1:715" s="2" customFormat="1" ht="50" customHeight="1" x14ac:dyDescent="0.2">
      <c r="A106" s="8"/>
      <c r="B106" s="11"/>
      <c r="C106" s="8"/>
      <c r="D106" s="8"/>
      <c r="E106" s="8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18"/>
      <c r="FF106" s="18"/>
      <c r="FG106" s="18"/>
      <c r="FH106" s="18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</row>
    <row r="107" spans="1:715" s="2" customFormat="1" ht="50" customHeight="1" x14ac:dyDescent="0.2">
      <c r="A107" s="8"/>
      <c r="B107" s="11"/>
      <c r="C107" s="8"/>
      <c r="D107" s="8"/>
      <c r="E107" s="8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</row>
    <row r="108" spans="1:715" s="2" customFormat="1" ht="50" customHeight="1" x14ac:dyDescent="0.2">
      <c r="A108" s="8"/>
      <c r="B108" s="11"/>
      <c r="C108" s="8"/>
      <c r="D108" s="8"/>
      <c r="E108" s="8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19"/>
      <c r="FF108" s="18"/>
      <c r="FG108" s="20"/>
      <c r="FH108" s="20"/>
      <c r="FI108" s="19"/>
      <c r="FJ108" s="18"/>
      <c r="FK108" s="20"/>
      <c r="FL108" s="20"/>
      <c r="FM108" s="19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</row>
    <row r="109" spans="1:715" s="2" customFormat="1" ht="50" customHeight="1" x14ac:dyDescent="0.2">
      <c r="A109" s="8"/>
      <c r="B109" s="11"/>
      <c r="C109" s="8"/>
      <c r="D109" s="8"/>
      <c r="E109" s="8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19"/>
      <c r="FF109" s="18"/>
      <c r="FG109" s="20"/>
      <c r="FH109" s="20"/>
      <c r="FI109" s="19"/>
      <c r="FJ109" s="18"/>
      <c r="FK109" s="20"/>
      <c r="FL109" s="20"/>
      <c r="FM109" s="19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</row>
    <row r="110" spans="1:715" s="2" customFormat="1" ht="50" customHeight="1" x14ac:dyDescent="0.2">
      <c r="A110" s="8"/>
      <c r="B110" s="11"/>
      <c r="C110" s="8"/>
      <c r="D110" s="8"/>
      <c r="E110" s="8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</row>
    <row r="111" spans="1:715" s="2" customFormat="1" ht="50" customHeight="1" x14ac:dyDescent="0.2">
      <c r="A111" s="8"/>
      <c r="B111" s="11"/>
      <c r="C111" s="8"/>
      <c r="D111" s="8"/>
      <c r="E111" s="8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</row>
    <row r="112" spans="1:715" s="2" customFormat="1" ht="50" customHeight="1" x14ac:dyDescent="0.2">
      <c r="A112" s="8"/>
      <c r="B112" s="11"/>
      <c r="C112" s="8"/>
      <c r="D112" s="8"/>
      <c r="E112" s="8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19"/>
      <c r="FF112" s="18"/>
      <c r="FG112" s="20"/>
      <c r="FH112" s="20"/>
      <c r="FI112" s="19"/>
      <c r="FJ112" s="18"/>
      <c r="FK112" s="20"/>
      <c r="FL112" s="20"/>
      <c r="FM112" s="19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</row>
    <row r="113" spans="1:715" s="2" customFormat="1" ht="50" customHeight="1" x14ac:dyDescent="0.2">
      <c r="A113" s="8"/>
      <c r="B113" s="11"/>
      <c r="C113" s="8"/>
      <c r="D113" s="8"/>
      <c r="E113" s="8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19"/>
      <c r="FF113" s="18"/>
      <c r="FG113" s="20"/>
      <c r="FH113" s="20"/>
      <c r="FI113" s="19"/>
      <c r="FJ113" s="18"/>
      <c r="FK113" s="20"/>
      <c r="FL113" s="20"/>
      <c r="FM113" s="19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</row>
    <row r="114" spans="1:715" s="2" customFormat="1" ht="50" customHeight="1" x14ac:dyDescent="0.2">
      <c r="A114" s="8"/>
      <c r="B114" s="11"/>
      <c r="C114" s="8"/>
      <c r="D114" s="8"/>
      <c r="E114" s="8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18"/>
      <c r="FF114" s="18"/>
      <c r="FG114" s="18"/>
      <c r="FH114" s="18"/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</row>
    <row r="115" spans="1:715" s="2" customFormat="1" ht="50" customHeight="1" x14ac:dyDescent="0.2">
      <c r="A115" s="8"/>
      <c r="B115" s="11"/>
      <c r="C115" s="8"/>
      <c r="D115" s="8"/>
      <c r="E115" s="8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18"/>
      <c r="FF115" s="18"/>
      <c r="FG115" s="18"/>
      <c r="FH115" s="18"/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</row>
    <row r="116" spans="1:715" s="2" customFormat="1" ht="50" customHeight="1" x14ac:dyDescent="0.2">
      <c r="A116" s="8"/>
      <c r="B116" s="11"/>
      <c r="C116" s="8"/>
      <c r="D116" s="8"/>
      <c r="E116" s="8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19"/>
      <c r="FF116" s="18"/>
      <c r="FG116" s="20"/>
      <c r="FH116" s="20"/>
      <c r="FI116" s="19"/>
      <c r="FJ116" s="18"/>
      <c r="FK116" s="20"/>
      <c r="FL116" s="20"/>
      <c r="FM116" s="19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</row>
    <row r="117" spans="1:715" s="2" customFormat="1" ht="50" customHeight="1" x14ac:dyDescent="0.2">
      <c r="A117" s="8"/>
      <c r="B117" s="11"/>
      <c r="C117" s="8"/>
      <c r="D117" s="8"/>
      <c r="E117" s="8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19"/>
      <c r="FF117" s="18"/>
      <c r="FG117" s="20"/>
      <c r="FH117" s="20"/>
      <c r="FI117" s="19"/>
      <c r="FJ117" s="18"/>
      <c r="FK117" s="20"/>
      <c r="FL117" s="20"/>
      <c r="FM117" s="19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</row>
    <row r="118" spans="1:715" s="2" customFormat="1" ht="50" customHeight="1" x14ac:dyDescent="0.2">
      <c r="A118" s="8"/>
      <c r="B118" s="11"/>
      <c r="C118" s="8"/>
      <c r="D118" s="8"/>
      <c r="E118" s="8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18"/>
      <c r="FF118" s="18"/>
      <c r="FG118" s="18"/>
      <c r="FH118" s="18"/>
      <c r="FI118" s="18"/>
      <c r="FJ118" s="18"/>
      <c r="FK118" s="18"/>
      <c r="FL118" s="18"/>
      <c r="FM118" s="18"/>
      <c r="FN118" s="18"/>
      <c r="FO118" s="18"/>
      <c r="FP118" s="18"/>
      <c r="FQ118" s="18"/>
      <c r="FR118" s="18"/>
      <c r="FS118" s="18"/>
      <c r="FT118" s="18"/>
      <c r="FU118" s="18"/>
      <c r="FV118" s="18"/>
      <c r="FW118" s="18"/>
      <c r="FX118" s="18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</row>
    <row r="119" spans="1:715" s="2" customFormat="1" ht="50" customHeight="1" x14ac:dyDescent="0.2">
      <c r="A119" s="8"/>
      <c r="B119" s="11"/>
      <c r="C119" s="8"/>
      <c r="D119" s="8"/>
      <c r="E119" s="8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18"/>
      <c r="FF119" s="18"/>
      <c r="FG119" s="18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</row>
    <row r="120" spans="1:715" s="2" customFormat="1" ht="50" customHeight="1" x14ac:dyDescent="0.2">
      <c r="A120" s="8"/>
      <c r="B120" s="11"/>
      <c r="C120" s="8"/>
      <c r="D120" s="8"/>
      <c r="E120" s="8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19"/>
      <c r="FF120" s="18"/>
      <c r="FG120" s="20"/>
      <c r="FH120" s="20"/>
      <c r="FI120" s="19"/>
      <c r="FJ120" s="18"/>
      <c r="FK120" s="20"/>
      <c r="FL120" s="20"/>
      <c r="FM120" s="19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</row>
    <row r="121" spans="1:715" s="2" customFormat="1" ht="50" customHeight="1" x14ac:dyDescent="0.2">
      <c r="A121" s="8"/>
      <c r="B121" s="11"/>
      <c r="C121" s="8"/>
      <c r="D121" s="8"/>
      <c r="E121" s="8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19"/>
      <c r="FF121" s="18"/>
      <c r="FG121" s="20"/>
      <c r="FH121" s="20"/>
      <c r="FI121" s="19"/>
      <c r="FJ121" s="18"/>
      <c r="FK121" s="20"/>
      <c r="FL121" s="20"/>
      <c r="FM121" s="19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</row>
    <row r="122" spans="1:715" s="2" customFormat="1" ht="50" customHeight="1" x14ac:dyDescent="0.2">
      <c r="A122" s="8"/>
      <c r="B122" s="11"/>
      <c r="C122" s="8"/>
      <c r="D122" s="8"/>
      <c r="E122" s="8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18"/>
      <c r="FF122" s="18"/>
      <c r="FG122" s="18"/>
      <c r="FH122" s="18"/>
      <c r="FI122" s="18"/>
      <c r="FJ122" s="18"/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</row>
    <row r="123" spans="1:715" s="2" customFormat="1" ht="50" customHeight="1" x14ac:dyDescent="0.2">
      <c r="A123" s="8"/>
      <c r="B123" s="11"/>
      <c r="C123" s="8"/>
      <c r="D123" s="8"/>
      <c r="E123" s="8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</row>
    <row r="124" spans="1:715" s="2" customFormat="1" ht="50" customHeight="1" x14ac:dyDescent="0.2">
      <c r="A124" s="8"/>
      <c r="B124" s="11"/>
      <c r="C124" s="8"/>
      <c r="D124" s="8"/>
      <c r="E124" s="8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19"/>
      <c r="FF124" s="18"/>
      <c r="FG124" s="20"/>
      <c r="FH124" s="20"/>
      <c r="FI124" s="19"/>
      <c r="FJ124" s="18"/>
      <c r="FK124" s="20"/>
      <c r="FL124" s="20"/>
      <c r="FM124" s="19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</row>
    <row r="125" spans="1:715" s="2" customFormat="1" ht="50" customHeight="1" x14ac:dyDescent="0.2">
      <c r="A125" s="8"/>
      <c r="B125" s="11"/>
      <c r="C125" s="8"/>
      <c r="D125" s="8"/>
      <c r="E125" s="8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19"/>
      <c r="FF125" s="18"/>
      <c r="FG125" s="20"/>
      <c r="FH125" s="20"/>
      <c r="FI125" s="19"/>
      <c r="FJ125" s="18"/>
      <c r="FK125" s="20"/>
      <c r="FL125" s="20"/>
      <c r="FM125" s="19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</row>
    <row r="126" spans="1:715" s="2" customFormat="1" ht="50" customHeight="1" x14ac:dyDescent="0.2">
      <c r="A126" s="8"/>
      <c r="B126" s="11"/>
      <c r="C126" s="8"/>
      <c r="D126" s="8"/>
      <c r="E126" s="8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18"/>
      <c r="FF126" s="18"/>
      <c r="FG126" s="18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</row>
    <row r="127" spans="1:715" s="2" customFormat="1" ht="50" customHeight="1" x14ac:dyDescent="0.2">
      <c r="A127" s="8"/>
      <c r="B127" s="11"/>
      <c r="C127" s="8"/>
      <c r="D127" s="8"/>
      <c r="E127" s="8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18"/>
      <c r="FF127" s="18"/>
      <c r="FG127" s="18"/>
      <c r="FH127" s="18"/>
      <c r="FI127" s="18"/>
      <c r="FJ127" s="18"/>
      <c r="FK127" s="18"/>
      <c r="FL127" s="18"/>
      <c r="FM127" s="18"/>
      <c r="FN127" s="18"/>
      <c r="FO127" s="18"/>
      <c r="FP127" s="18"/>
      <c r="FQ127" s="18"/>
      <c r="FR127" s="18"/>
      <c r="FS127" s="18"/>
      <c r="FT127" s="18"/>
      <c r="FU127" s="18"/>
      <c r="FV127" s="18"/>
      <c r="FW127" s="18"/>
      <c r="FX127" s="18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</row>
    <row r="128" spans="1:715" s="2" customFormat="1" ht="50" customHeight="1" x14ac:dyDescent="0.2">
      <c r="A128" s="8"/>
      <c r="B128" s="11"/>
      <c r="C128" s="8"/>
      <c r="D128" s="8"/>
      <c r="E128" s="8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19"/>
      <c r="FF128" s="18"/>
      <c r="FG128" s="20"/>
      <c r="FH128" s="20"/>
      <c r="FI128" s="19"/>
      <c r="FJ128" s="18"/>
      <c r="FK128" s="20"/>
      <c r="FL128" s="20"/>
      <c r="FM128" s="19"/>
      <c r="FN128" s="18"/>
      <c r="FO128" s="18"/>
      <c r="FP128" s="18"/>
      <c r="FQ128" s="18"/>
      <c r="FR128" s="18"/>
      <c r="FS128" s="18"/>
      <c r="FT128" s="18"/>
      <c r="FU128" s="18"/>
      <c r="FV128" s="18"/>
      <c r="FW128" s="18"/>
      <c r="FX128" s="18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</row>
    <row r="129" spans="1:715" s="2" customFormat="1" ht="50" customHeight="1" x14ac:dyDescent="0.2">
      <c r="A129" s="8"/>
      <c r="B129" s="11"/>
      <c r="C129" s="8"/>
      <c r="D129" s="8"/>
      <c r="E129" s="8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19"/>
      <c r="FF129" s="18"/>
      <c r="FG129" s="20"/>
      <c r="FH129" s="20"/>
      <c r="FI129" s="19"/>
      <c r="FJ129" s="18"/>
      <c r="FK129" s="20"/>
      <c r="FL129" s="20"/>
      <c r="FM129" s="19"/>
      <c r="FN129" s="18"/>
      <c r="FO129" s="18"/>
      <c r="FP129" s="18"/>
      <c r="FQ129" s="18"/>
      <c r="FR129" s="18"/>
      <c r="FS129" s="18"/>
      <c r="FT129" s="18"/>
      <c r="FU129" s="18"/>
      <c r="FV129" s="18"/>
      <c r="FW129" s="18"/>
      <c r="FX129" s="18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</row>
    <row r="130" spans="1:715" s="2" customFormat="1" ht="50" customHeight="1" x14ac:dyDescent="0.2">
      <c r="A130" s="8"/>
      <c r="B130" s="11"/>
      <c r="C130" s="8"/>
      <c r="D130" s="8"/>
      <c r="E130" s="8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18"/>
      <c r="FF130" s="18"/>
      <c r="FG130" s="18"/>
      <c r="FH130" s="18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</row>
    <row r="131" spans="1:715" s="2" customFormat="1" ht="50" customHeight="1" x14ac:dyDescent="0.2">
      <c r="A131" s="8"/>
      <c r="B131" s="11"/>
      <c r="C131" s="8"/>
      <c r="D131" s="8"/>
      <c r="E131" s="8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</row>
    <row r="132" spans="1:715" s="2" customFormat="1" ht="50" customHeight="1" x14ac:dyDescent="0.2">
      <c r="A132" s="8"/>
      <c r="B132" s="11"/>
      <c r="C132" s="8"/>
      <c r="D132" s="8"/>
      <c r="E132" s="8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19"/>
      <c r="FF132" s="18"/>
      <c r="FG132" s="20"/>
      <c r="FH132" s="20"/>
      <c r="FI132" s="19"/>
      <c r="FJ132" s="18"/>
      <c r="FK132" s="20"/>
      <c r="FL132" s="20"/>
      <c r="FM132" s="19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</row>
    <row r="133" spans="1:715" s="2" customFormat="1" ht="50" customHeight="1" x14ac:dyDescent="0.2">
      <c r="A133" s="8"/>
      <c r="B133" s="11"/>
      <c r="C133" s="8"/>
      <c r="D133" s="8"/>
      <c r="E133" s="8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19"/>
      <c r="FF133" s="18"/>
      <c r="FG133" s="20"/>
      <c r="FH133" s="20"/>
      <c r="FI133" s="19"/>
      <c r="FJ133" s="18"/>
      <c r="FK133" s="20"/>
      <c r="FL133" s="20"/>
      <c r="FM133" s="19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</row>
    <row r="134" spans="1:715" s="2" customFormat="1" ht="50" customHeight="1" x14ac:dyDescent="0.2">
      <c r="A134" s="8"/>
      <c r="B134" s="11"/>
      <c r="C134" s="8"/>
      <c r="D134" s="8"/>
      <c r="E134" s="8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18"/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</row>
    <row r="135" spans="1:715" s="2" customFormat="1" ht="50" customHeight="1" x14ac:dyDescent="0.2">
      <c r="A135" s="8"/>
      <c r="B135" s="11"/>
      <c r="C135" s="8"/>
      <c r="D135" s="8"/>
      <c r="E135" s="8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18"/>
      <c r="FF135" s="18"/>
      <c r="FG135" s="18"/>
      <c r="FH135" s="18"/>
      <c r="FI135" s="18"/>
      <c r="FJ135" s="18"/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</row>
    <row r="136" spans="1:715" s="2" customFormat="1" ht="50" customHeight="1" x14ac:dyDescent="0.2">
      <c r="A136" s="8"/>
      <c r="B136" s="11"/>
      <c r="C136" s="8"/>
      <c r="D136" s="8"/>
      <c r="E136" s="8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19"/>
      <c r="FF136" s="18"/>
      <c r="FG136" s="20"/>
      <c r="FH136" s="20"/>
      <c r="FI136" s="19"/>
      <c r="FJ136" s="18"/>
      <c r="FK136" s="20"/>
      <c r="FL136" s="20"/>
      <c r="FM136" s="19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</row>
    <row r="137" spans="1:715" s="2" customFormat="1" ht="50" customHeight="1" x14ac:dyDescent="0.2">
      <c r="A137" s="8"/>
      <c r="B137" s="11"/>
      <c r="C137" s="8"/>
      <c r="D137" s="8"/>
      <c r="E137" s="8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19"/>
      <c r="FF137" s="18"/>
      <c r="FG137" s="20"/>
      <c r="FH137" s="20"/>
      <c r="FI137" s="19"/>
      <c r="FJ137" s="18"/>
      <c r="FK137" s="20"/>
      <c r="FL137" s="20"/>
      <c r="FM137" s="19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</row>
    <row r="138" spans="1:715" s="2" customFormat="1" ht="50" customHeight="1" x14ac:dyDescent="0.2">
      <c r="A138" s="8"/>
      <c r="B138" s="11"/>
      <c r="C138" s="8"/>
      <c r="D138" s="8"/>
      <c r="E138" s="8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</row>
    <row r="139" spans="1:715" s="2" customFormat="1" ht="50" customHeight="1" x14ac:dyDescent="0.2">
      <c r="A139" s="8"/>
      <c r="B139" s="11"/>
      <c r="C139" s="8"/>
      <c r="D139" s="8"/>
      <c r="E139" s="8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18"/>
      <c r="FF139" s="18"/>
      <c r="FG139" s="18"/>
      <c r="FH139" s="18"/>
      <c r="FI139" s="18"/>
      <c r="FJ139" s="18"/>
      <c r="FK139" s="18"/>
      <c r="FL139" s="18"/>
      <c r="FM139" s="18"/>
      <c r="FN139" s="18"/>
      <c r="FO139" s="18"/>
      <c r="FP139" s="18"/>
      <c r="FQ139" s="18"/>
      <c r="FR139" s="18"/>
      <c r="FS139" s="18"/>
      <c r="FT139" s="18"/>
      <c r="FU139" s="18"/>
      <c r="FV139" s="18"/>
      <c r="FW139" s="18"/>
      <c r="FX139" s="18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</row>
    <row r="140" spans="1:715" s="2" customFormat="1" ht="50" customHeight="1" x14ac:dyDescent="0.2">
      <c r="A140" s="8"/>
      <c r="B140" s="11"/>
      <c r="C140" s="8"/>
      <c r="D140" s="8"/>
      <c r="E140" s="8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19"/>
      <c r="FF140" s="18"/>
      <c r="FG140" s="20"/>
      <c r="FH140" s="20"/>
      <c r="FI140" s="19"/>
      <c r="FJ140" s="18"/>
      <c r="FK140" s="20"/>
      <c r="FL140" s="20"/>
      <c r="FM140" s="19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</row>
    <row r="141" spans="1:715" s="2" customFormat="1" ht="50" customHeight="1" x14ac:dyDescent="0.2">
      <c r="A141" s="8"/>
      <c r="B141" s="11"/>
      <c r="C141" s="8"/>
      <c r="D141" s="8"/>
      <c r="E141" s="8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19"/>
      <c r="FF141" s="18"/>
      <c r="FG141" s="20"/>
      <c r="FH141" s="20"/>
      <c r="FI141" s="19"/>
      <c r="FJ141" s="18"/>
      <c r="FK141" s="20"/>
      <c r="FL141" s="20"/>
      <c r="FM141" s="19"/>
      <c r="FN141" s="18"/>
      <c r="FO141" s="18"/>
      <c r="FP141" s="18"/>
      <c r="FQ141" s="18"/>
      <c r="FR141" s="18"/>
      <c r="FS141" s="18"/>
      <c r="FT141" s="18"/>
      <c r="FU141" s="18"/>
      <c r="FV141" s="18"/>
      <c r="FW141" s="18"/>
      <c r="FX141" s="18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</row>
    <row r="142" spans="1:715" s="2" customFormat="1" ht="50" customHeight="1" x14ac:dyDescent="0.2">
      <c r="A142" s="8"/>
      <c r="B142" s="11"/>
      <c r="C142" s="8"/>
      <c r="D142" s="8"/>
      <c r="E142" s="8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18"/>
      <c r="FF142" s="18"/>
      <c r="FG142" s="18"/>
      <c r="FH142" s="18"/>
      <c r="FI142" s="18"/>
      <c r="FJ142" s="18"/>
      <c r="FK142" s="18"/>
      <c r="FL142" s="18"/>
      <c r="FM142" s="18"/>
      <c r="FN142" s="18"/>
      <c r="FO142" s="18"/>
      <c r="FP142" s="18"/>
      <c r="FQ142" s="18"/>
      <c r="FR142" s="18"/>
      <c r="FS142" s="18"/>
      <c r="FT142" s="18"/>
      <c r="FU142" s="18"/>
      <c r="FV142" s="18"/>
      <c r="FW142" s="18"/>
      <c r="FX142" s="18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</row>
    <row r="143" spans="1:715" s="2" customFormat="1" ht="50" customHeight="1" x14ac:dyDescent="0.2">
      <c r="A143" s="8"/>
      <c r="B143" s="11"/>
      <c r="C143" s="8"/>
      <c r="D143" s="8"/>
      <c r="E143" s="8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18"/>
      <c r="FF143" s="18"/>
      <c r="FG143" s="18"/>
      <c r="FH143" s="18"/>
      <c r="FI143" s="18"/>
      <c r="FJ143" s="18"/>
      <c r="FK143" s="18"/>
      <c r="FL143" s="18"/>
      <c r="FM143" s="18"/>
      <c r="FN143" s="18"/>
      <c r="FO143" s="18"/>
      <c r="FP143" s="18"/>
      <c r="FQ143" s="18"/>
      <c r="FR143" s="18"/>
      <c r="FS143" s="18"/>
      <c r="FT143" s="18"/>
      <c r="FU143" s="18"/>
      <c r="FV143" s="18"/>
      <c r="FW143" s="18"/>
      <c r="FX143" s="18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</row>
    <row r="144" spans="1:715" s="2" customFormat="1" ht="50" customHeight="1" x14ac:dyDescent="0.2">
      <c r="A144" s="8"/>
      <c r="B144" s="11"/>
      <c r="C144" s="8"/>
      <c r="D144" s="8"/>
      <c r="E144" s="8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19"/>
      <c r="FF144" s="18"/>
      <c r="FG144" s="20"/>
      <c r="FH144" s="20"/>
      <c r="FI144" s="19"/>
      <c r="FJ144" s="18"/>
      <c r="FK144" s="20"/>
      <c r="FL144" s="20"/>
      <c r="FM144" s="19"/>
      <c r="FN144" s="18"/>
      <c r="FO144" s="18"/>
      <c r="FP144" s="18"/>
      <c r="FQ144" s="18"/>
      <c r="FR144" s="18"/>
      <c r="FS144" s="18"/>
      <c r="FT144" s="18"/>
      <c r="FU144" s="18"/>
      <c r="FV144" s="18"/>
      <c r="FW144" s="18"/>
      <c r="FX144" s="18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</row>
    <row r="145" spans="1:715" s="2" customFormat="1" ht="50" customHeight="1" x14ac:dyDescent="0.2">
      <c r="A145" s="8"/>
      <c r="B145" s="11"/>
      <c r="C145" s="8"/>
      <c r="D145" s="8"/>
      <c r="E145" s="8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19"/>
      <c r="FF145" s="18"/>
      <c r="FG145" s="20"/>
      <c r="FH145" s="20"/>
      <c r="FI145" s="19"/>
      <c r="FJ145" s="18"/>
      <c r="FK145" s="20"/>
      <c r="FL145" s="20"/>
      <c r="FM145" s="19"/>
      <c r="FN145" s="18"/>
      <c r="FO145" s="18"/>
      <c r="FP145" s="18"/>
      <c r="FQ145" s="18"/>
      <c r="FR145" s="18"/>
      <c r="FS145" s="18"/>
      <c r="FT145" s="18"/>
      <c r="FU145" s="18"/>
      <c r="FV145" s="18"/>
      <c r="FW145" s="18"/>
      <c r="FX145" s="18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</row>
    <row r="146" spans="1:715" s="2" customFormat="1" ht="50" customHeight="1" x14ac:dyDescent="0.2">
      <c r="A146" s="8"/>
      <c r="B146" s="11"/>
      <c r="C146" s="8"/>
      <c r="D146" s="8"/>
      <c r="E146" s="8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18"/>
      <c r="FF146" s="18"/>
      <c r="FG146" s="18"/>
      <c r="FH146" s="18"/>
      <c r="FI146" s="18"/>
      <c r="FJ146" s="18"/>
      <c r="FK146" s="18"/>
      <c r="FL146" s="18"/>
      <c r="FM146" s="18"/>
      <c r="FN146" s="18"/>
      <c r="FO146" s="18"/>
      <c r="FP146" s="18"/>
      <c r="FQ146" s="18"/>
      <c r="FR146" s="18"/>
      <c r="FS146" s="18"/>
      <c r="FT146" s="18"/>
      <c r="FU146" s="18"/>
      <c r="FV146" s="18"/>
      <c r="FW146" s="18"/>
      <c r="FX146" s="18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</row>
    <row r="147" spans="1:715" s="2" customFormat="1" ht="50" customHeight="1" x14ac:dyDescent="0.2">
      <c r="A147" s="8"/>
      <c r="B147" s="11"/>
      <c r="C147" s="8"/>
      <c r="D147" s="8"/>
      <c r="E147" s="8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18"/>
      <c r="FF147" s="18"/>
      <c r="FG147" s="18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</row>
    <row r="148" spans="1:715" s="2" customFormat="1" ht="50" customHeight="1" x14ac:dyDescent="0.2">
      <c r="A148" s="8"/>
      <c r="B148" s="11"/>
      <c r="C148" s="8"/>
      <c r="D148" s="8"/>
      <c r="E148" s="8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19"/>
      <c r="FF148" s="18"/>
      <c r="FG148" s="20"/>
      <c r="FH148" s="20"/>
      <c r="FI148" s="19"/>
      <c r="FJ148" s="18"/>
      <c r="FK148" s="20"/>
      <c r="FL148" s="20"/>
      <c r="FM148" s="19"/>
      <c r="FN148" s="18"/>
      <c r="FO148" s="18"/>
      <c r="FP148" s="18"/>
      <c r="FQ148" s="18"/>
      <c r="FR148" s="18"/>
      <c r="FS148" s="18"/>
      <c r="FT148" s="18"/>
      <c r="FU148" s="18"/>
      <c r="FV148" s="18"/>
      <c r="FW148" s="18"/>
      <c r="FX148" s="18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</row>
    <row r="149" spans="1:715" s="2" customFormat="1" ht="50" customHeight="1" x14ac:dyDescent="0.2">
      <c r="A149" s="8"/>
      <c r="B149" s="11"/>
      <c r="C149" s="8"/>
      <c r="D149" s="8"/>
      <c r="E149" s="8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19"/>
      <c r="FF149" s="18"/>
      <c r="FG149" s="20"/>
      <c r="FH149" s="20"/>
      <c r="FI149" s="19"/>
      <c r="FJ149" s="18"/>
      <c r="FK149" s="20"/>
      <c r="FL149" s="20"/>
      <c r="FM149" s="19"/>
      <c r="FN149" s="18"/>
      <c r="FO149" s="18"/>
      <c r="FP149" s="18"/>
      <c r="FQ149" s="18"/>
      <c r="FR149" s="18"/>
      <c r="FS149" s="18"/>
      <c r="FT149" s="18"/>
      <c r="FU149" s="18"/>
      <c r="FV149" s="18"/>
      <c r="FW149" s="18"/>
      <c r="FX149" s="18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</row>
    <row r="150" spans="1:715" s="2" customFormat="1" ht="50" customHeight="1" x14ac:dyDescent="0.2">
      <c r="A150" s="8"/>
      <c r="B150" s="11"/>
      <c r="C150" s="8"/>
      <c r="D150" s="8"/>
      <c r="E150" s="8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18"/>
      <c r="FF150" s="18"/>
      <c r="FG150" s="18"/>
      <c r="FH150" s="18"/>
      <c r="FI150" s="18"/>
      <c r="FJ150" s="18"/>
      <c r="FK150" s="18"/>
      <c r="FL150" s="18"/>
      <c r="FM150" s="18"/>
      <c r="FN150" s="18"/>
      <c r="FO150" s="18"/>
      <c r="FP150" s="18"/>
      <c r="FQ150" s="18"/>
      <c r="FR150" s="18"/>
      <c r="FS150" s="18"/>
      <c r="FT150" s="18"/>
      <c r="FU150" s="18"/>
      <c r="FV150" s="18"/>
      <c r="FW150" s="18"/>
      <c r="FX150" s="18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</row>
    <row r="151" spans="1:715" s="2" customFormat="1" ht="50" customHeight="1" x14ac:dyDescent="0.2">
      <c r="A151" s="8"/>
      <c r="B151" s="11"/>
      <c r="C151" s="8"/>
      <c r="D151" s="8"/>
      <c r="E151" s="8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18"/>
      <c r="FF151" s="18"/>
      <c r="FG151" s="18"/>
      <c r="FH151" s="18"/>
      <c r="FI151" s="18"/>
      <c r="FJ151" s="18"/>
      <c r="FK151" s="18"/>
      <c r="FL151" s="18"/>
      <c r="FM151" s="18"/>
      <c r="FN151" s="18"/>
      <c r="FO151" s="18"/>
      <c r="FP151" s="18"/>
      <c r="FQ151" s="18"/>
      <c r="FR151" s="18"/>
      <c r="FS151" s="18"/>
      <c r="FT151" s="18"/>
      <c r="FU151" s="18"/>
      <c r="FV151" s="18"/>
      <c r="FW151" s="18"/>
      <c r="FX151" s="18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</row>
    <row r="152" spans="1:715" s="2" customFormat="1" ht="50" customHeight="1" x14ac:dyDescent="0.2">
      <c r="A152" s="8"/>
      <c r="B152" s="11"/>
      <c r="C152" s="8"/>
      <c r="D152" s="8"/>
      <c r="E152" s="8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19"/>
      <c r="FF152" s="18"/>
      <c r="FG152" s="20"/>
      <c r="FH152" s="20"/>
      <c r="FI152" s="19"/>
      <c r="FJ152" s="18"/>
      <c r="FK152" s="20"/>
      <c r="FL152" s="20"/>
      <c r="FM152" s="19"/>
      <c r="FN152" s="18"/>
      <c r="FO152" s="18"/>
      <c r="FP152" s="18"/>
      <c r="FQ152" s="18"/>
      <c r="FR152" s="18"/>
      <c r="FS152" s="18"/>
      <c r="FT152" s="18"/>
      <c r="FU152" s="18"/>
      <c r="FV152" s="18"/>
      <c r="FW152" s="18"/>
      <c r="FX152" s="18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</row>
    <row r="153" spans="1:715" s="2" customFormat="1" ht="50" customHeight="1" x14ac:dyDescent="0.2">
      <c r="A153" s="8"/>
      <c r="B153" s="11"/>
      <c r="C153" s="8"/>
      <c r="D153" s="8"/>
      <c r="E153" s="8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19"/>
      <c r="FF153" s="18"/>
      <c r="FG153" s="20"/>
      <c r="FH153" s="20"/>
      <c r="FI153" s="19"/>
      <c r="FJ153" s="18"/>
      <c r="FK153" s="20"/>
      <c r="FL153" s="20"/>
      <c r="FM153" s="19"/>
      <c r="FN153" s="18"/>
      <c r="FO153" s="18"/>
      <c r="FP153" s="18"/>
      <c r="FQ153" s="18"/>
      <c r="FR153" s="18"/>
      <c r="FS153" s="18"/>
      <c r="FT153" s="18"/>
      <c r="FU153" s="18"/>
      <c r="FV153" s="18"/>
      <c r="FW153" s="18"/>
      <c r="FX153" s="18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</row>
    <row r="154" spans="1:715" s="2" customFormat="1" ht="50" customHeight="1" x14ac:dyDescent="0.2">
      <c r="A154" s="8"/>
      <c r="B154" s="11"/>
      <c r="C154" s="8"/>
      <c r="D154" s="8"/>
      <c r="E154" s="8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18"/>
      <c r="FF154" s="18"/>
      <c r="FG154" s="18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</row>
    <row r="155" spans="1:715" s="2" customFormat="1" ht="50" customHeight="1" x14ac:dyDescent="0.2">
      <c r="A155" s="8"/>
      <c r="B155" s="11"/>
      <c r="C155" s="8"/>
      <c r="D155" s="8"/>
      <c r="E155" s="8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18"/>
      <c r="FF155" s="18"/>
      <c r="FG155" s="18"/>
      <c r="FH155" s="18"/>
      <c r="FI155" s="18"/>
      <c r="FJ155" s="18"/>
      <c r="FK155" s="18"/>
      <c r="FL155" s="18"/>
      <c r="FM155" s="18"/>
      <c r="FN155" s="18"/>
      <c r="FO155" s="18"/>
      <c r="FP155" s="18"/>
      <c r="FQ155" s="18"/>
      <c r="FR155" s="18"/>
      <c r="FS155" s="18"/>
      <c r="FT155" s="18"/>
      <c r="FU155" s="18"/>
      <c r="FV155" s="18"/>
      <c r="FW155" s="18"/>
      <c r="FX155" s="18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</row>
    <row r="156" spans="1:715" s="2" customFormat="1" ht="50" customHeight="1" x14ac:dyDescent="0.2">
      <c r="A156" s="8"/>
      <c r="B156" s="11"/>
      <c r="C156" s="8"/>
      <c r="D156" s="8"/>
      <c r="E156" s="8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19"/>
      <c r="FF156" s="18"/>
      <c r="FG156" s="20"/>
      <c r="FH156" s="20"/>
      <c r="FI156" s="19"/>
      <c r="FJ156" s="18"/>
      <c r="FK156" s="20"/>
      <c r="FL156" s="20"/>
      <c r="FM156" s="19"/>
      <c r="FN156" s="18"/>
      <c r="FO156" s="18"/>
      <c r="FP156" s="18"/>
      <c r="FQ156" s="18"/>
      <c r="FR156" s="18"/>
      <c r="FS156" s="18"/>
      <c r="FT156" s="18"/>
      <c r="FU156" s="18"/>
      <c r="FV156" s="18"/>
      <c r="FW156" s="18"/>
      <c r="FX156" s="18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</row>
    <row r="157" spans="1:715" s="2" customFormat="1" ht="50" customHeight="1" x14ac:dyDescent="0.2">
      <c r="A157" s="8"/>
      <c r="B157" s="11"/>
      <c r="C157" s="8"/>
      <c r="D157" s="8"/>
      <c r="E157" s="8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19"/>
      <c r="FF157" s="18"/>
      <c r="FG157" s="20"/>
      <c r="FH157" s="20"/>
      <c r="FI157" s="19"/>
      <c r="FJ157" s="18"/>
      <c r="FK157" s="20"/>
      <c r="FL157" s="20"/>
      <c r="FM157" s="19"/>
      <c r="FN157" s="18"/>
      <c r="FO157" s="18"/>
      <c r="FP157" s="18"/>
      <c r="FQ157" s="18"/>
      <c r="FR157" s="18"/>
      <c r="FS157" s="18"/>
      <c r="FT157" s="18"/>
      <c r="FU157" s="18"/>
      <c r="FV157" s="18"/>
      <c r="FW157" s="18"/>
      <c r="FX157" s="18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</row>
    <row r="158" spans="1:715" s="2" customFormat="1" ht="50" customHeight="1" x14ac:dyDescent="0.2">
      <c r="A158" s="8"/>
      <c r="B158" s="11"/>
      <c r="C158" s="8"/>
      <c r="D158" s="8"/>
      <c r="E158" s="8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18"/>
      <c r="FF158" s="18"/>
      <c r="FG158" s="18"/>
      <c r="FH158" s="18"/>
      <c r="FI158" s="18"/>
      <c r="FJ158" s="18"/>
      <c r="FK158" s="18"/>
      <c r="FL158" s="18"/>
      <c r="FM158" s="18"/>
      <c r="FN158" s="18"/>
      <c r="FO158" s="18"/>
      <c r="FP158" s="18"/>
      <c r="FQ158" s="18"/>
      <c r="FR158" s="18"/>
      <c r="FS158" s="18"/>
      <c r="FT158" s="18"/>
      <c r="FU158" s="18"/>
      <c r="FV158" s="18"/>
      <c r="FW158" s="18"/>
      <c r="FX158" s="18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</row>
    <row r="159" spans="1:715" s="2" customFormat="1" ht="50" customHeight="1" x14ac:dyDescent="0.2">
      <c r="A159" s="8"/>
      <c r="B159" s="11"/>
      <c r="C159" s="8"/>
      <c r="D159" s="8"/>
      <c r="E159" s="8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18"/>
      <c r="FF159" s="18"/>
      <c r="FG159" s="18"/>
      <c r="FH159" s="18"/>
      <c r="FI159" s="18"/>
      <c r="FJ159" s="18"/>
      <c r="FK159" s="18"/>
      <c r="FL159" s="18"/>
      <c r="FM159" s="18"/>
      <c r="FN159" s="18"/>
      <c r="FO159" s="18"/>
      <c r="FP159" s="18"/>
      <c r="FQ159" s="18"/>
      <c r="FR159" s="18"/>
      <c r="FS159" s="18"/>
      <c r="FT159" s="18"/>
      <c r="FU159" s="18"/>
      <c r="FV159" s="18"/>
      <c r="FW159" s="18"/>
      <c r="FX159" s="18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</row>
    <row r="160" spans="1:715" s="2" customFormat="1" ht="50" customHeight="1" x14ac:dyDescent="0.2">
      <c r="A160" s="8"/>
      <c r="B160" s="11"/>
      <c r="C160" s="8"/>
      <c r="D160" s="8"/>
      <c r="E160" s="8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</row>
    <row r="161" spans="1:715" s="2" customFormat="1" ht="50" customHeight="1" x14ac:dyDescent="0.2">
      <c r="A161" s="8"/>
      <c r="B161" s="11"/>
      <c r="C161" s="8"/>
      <c r="D161" s="8"/>
      <c r="E161" s="8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18"/>
      <c r="FF161" s="18"/>
      <c r="FG161" s="18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</row>
    <row r="162" spans="1:715" s="2" customFormat="1" ht="50" customHeight="1" x14ac:dyDescent="0.2">
      <c r="A162" s="8"/>
      <c r="B162" s="11"/>
      <c r="C162" s="8"/>
      <c r="D162" s="8"/>
      <c r="E162" s="8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18"/>
      <c r="FF162" s="18"/>
      <c r="FG162" s="18"/>
      <c r="FH162" s="18"/>
      <c r="FI162" s="18"/>
      <c r="FJ162" s="18"/>
      <c r="FK162" s="18"/>
      <c r="FL162" s="18"/>
      <c r="FM162" s="18"/>
      <c r="FN162" s="18"/>
      <c r="FO162" s="18"/>
      <c r="FP162" s="18"/>
      <c r="FQ162" s="18"/>
      <c r="FR162" s="18"/>
      <c r="FS162" s="18"/>
      <c r="FT162" s="18"/>
      <c r="FU162" s="18"/>
      <c r="FV162" s="18"/>
      <c r="FW162" s="18"/>
      <c r="FX162" s="18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</row>
    <row r="163" spans="1:715" s="2" customFormat="1" ht="50" customHeight="1" x14ac:dyDescent="0.2">
      <c r="A163" s="8"/>
      <c r="B163" s="11"/>
      <c r="C163" s="8"/>
      <c r="D163" s="8"/>
      <c r="E163" s="8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18"/>
      <c r="FF163" s="18"/>
      <c r="FG163" s="18"/>
      <c r="FH163" s="18"/>
      <c r="FI163" s="18"/>
      <c r="FJ163" s="18"/>
      <c r="FK163" s="18"/>
      <c r="FL163" s="18"/>
      <c r="FM163" s="18"/>
      <c r="FN163" s="18"/>
      <c r="FO163" s="18"/>
      <c r="FP163" s="18"/>
      <c r="FQ163" s="18"/>
      <c r="FR163" s="18"/>
      <c r="FS163" s="18"/>
      <c r="FT163" s="18"/>
      <c r="FU163" s="18"/>
      <c r="FV163" s="18"/>
      <c r="FW163" s="18"/>
      <c r="FX163" s="18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</row>
    <row r="164" spans="1:715" s="2" customFormat="1" ht="50" customHeight="1" x14ac:dyDescent="0.2">
      <c r="A164" s="8"/>
      <c r="B164" s="11"/>
      <c r="C164" s="8"/>
      <c r="D164" s="8"/>
      <c r="E164" s="8"/>
      <c r="F164" s="8"/>
      <c r="G164" s="5"/>
      <c r="H164" s="5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</row>
    <row r="165" spans="1:715" s="2" customFormat="1" ht="50" customHeight="1" x14ac:dyDescent="0.2">
      <c r="A165" s="8"/>
      <c r="B165" s="11"/>
      <c r="C165" s="8"/>
      <c r="D165" s="8"/>
      <c r="E165" s="8"/>
      <c r="F165" s="8"/>
      <c r="G165" s="5"/>
      <c r="H165" s="5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18"/>
      <c r="EF165" s="18"/>
      <c r="EG165" s="18"/>
      <c r="EH165" s="18"/>
      <c r="EI165" s="18"/>
      <c r="EJ165" s="18"/>
      <c r="EK165" s="18"/>
      <c r="EL165" s="18"/>
      <c r="EM165" s="18"/>
      <c r="EN165" s="18"/>
      <c r="EO165" s="18"/>
      <c r="EP165" s="18"/>
      <c r="EQ165" s="18"/>
      <c r="ER165" s="18"/>
      <c r="ES165" s="18"/>
      <c r="ET165" s="18"/>
      <c r="EU165" s="18"/>
      <c r="EV165" s="18"/>
      <c r="EW165" s="18"/>
      <c r="EX165" s="18"/>
      <c r="EY165" s="18"/>
      <c r="EZ165" s="18"/>
      <c r="FA165" s="18"/>
      <c r="FB165" s="18"/>
      <c r="FC165" s="18"/>
      <c r="FD165" s="18"/>
      <c r="FE165" s="18"/>
      <c r="FF165" s="18"/>
      <c r="FG165" s="18"/>
      <c r="FH165" s="18"/>
      <c r="FI165" s="18"/>
      <c r="FJ165" s="18"/>
      <c r="FK165" s="18"/>
      <c r="FL165" s="18"/>
      <c r="FM165" s="18"/>
      <c r="FN165" s="18"/>
      <c r="FO165" s="18"/>
      <c r="FP165" s="18"/>
      <c r="FQ165" s="18"/>
      <c r="FR165" s="18"/>
      <c r="FS165" s="18"/>
      <c r="FT165" s="18"/>
      <c r="FU165" s="18"/>
      <c r="FV165" s="18"/>
      <c r="FW165" s="18"/>
      <c r="FX165" s="18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</row>
    <row r="166" spans="1:715" s="2" customFormat="1" ht="50" customHeight="1" x14ac:dyDescent="0.2">
      <c r="A166" s="8"/>
      <c r="B166" s="11"/>
      <c r="C166" s="8"/>
      <c r="D166" s="8"/>
      <c r="E166" s="8"/>
      <c r="F166" s="8"/>
      <c r="G166" s="5"/>
      <c r="H166" s="5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18"/>
      <c r="EF166" s="18"/>
      <c r="EG166" s="18"/>
      <c r="EH166" s="18"/>
      <c r="EI166" s="18"/>
      <c r="EJ166" s="18"/>
      <c r="EK166" s="18"/>
      <c r="EL166" s="18"/>
      <c r="EM166" s="18"/>
      <c r="EN166" s="18"/>
      <c r="EO166" s="18"/>
      <c r="EP166" s="18"/>
      <c r="EQ166" s="18"/>
      <c r="ER166" s="18"/>
      <c r="ES166" s="18"/>
      <c r="ET166" s="18"/>
      <c r="EU166" s="18"/>
      <c r="EV166" s="18"/>
      <c r="EW166" s="18"/>
      <c r="EX166" s="18"/>
      <c r="EY166" s="18"/>
      <c r="EZ166" s="18"/>
      <c r="FA166" s="18"/>
      <c r="FB166" s="18"/>
      <c r="FC166" s="18"/>
      <c r="FD166" s="18"/>
      <c r="FE166" s="18"/>
      <c r="FF166" s="18"/>
      <c r="FG166" s="18"/>
      <c r="FH166" s="18"/>
      <c r="FI166" s="18"/>
      <c r="FJ166" s="18"/>
      <c r="FK166" s="18"/>
      <c r="FL166" s="18"/>
      <c r="FM166" s="18"/>
      <c r="FN166" s="18"/>
      <c r="FO166" s="18"/>
      <c r="FP166" s="18"/>
      <c r="FQ166" s="18"/>
      <c r="FR166" s="18"/>
      <c r="FS166" s="18"/>
      <c r="FT166" s="18"/>
      <c r="FU166" s="18"/>
      <c r="FV166" s="18"/>
      <c r="FW166" s="18"/>
      <c r="FX166" s="18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</row>
    <row r="167" spans="1:715" s="2" customFormat="1" ht="50" customHeight="1" x14ac:dyDescent="0.2">
      <c r="A167" s="8"/>
      <c r="B167" s="11"/>
      <c r="C167" s="8"/>
      <c r="D167" s="8"/>
      <c r="E167" s="8"/>
      <c r="F167" s="8"/>
      <c r="G167" s="5"/>
      <c r="H167" s="5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  <c r="DT167" s="18"/>
      <c r="DU167" s="18"/>
      <c r="DV167" s="18"/>
      <c r="DW167" s="18"/>
      <c r="DX167" s="18"/>
      <c r="DY167" s="18"/>
      <c r="DZ167" s="18"/>
      <c r="EA167" s="18"/>
      <c r="EB167" s="18"/>
      <c r="EC167" s="18"/>
      <c r="ED167" s="18"/>
      <c r="EE167" s="18"/>
      <c r="EF167" s="18"/>
      <c r="EG167" s="18"/>
      <c r="EH167" s="18"/>
      <c r="EI167" s="18"/>
      <c r="EJ167" s="18"/>
      <c r="EK167" s="18"/>
      <c r="EL167" s="18"/>
      <c r="EM167" s="18"/>
      <c r="EN167" s="18"/>
      <c r="EO167" s="18"/>
      <c r="EP167" s="18"/>
      <c r="EQ167" s="18"/>
      <c r="ER167" s="18"/>
      <c r="ES167" s="18"/>
      <c r="ET167" s="18"/>
      <c r="EU167" s="18"/>
      <c r="EV167" s="18"/>
      <c r="EW167" s="18"/>
      <c r="EX167" s="18"/>
      <c r="EY167" s="18"/>
      <c r="EZ167" s="18"/>
      <c r="FA167" s="18"/>
      <c r="FB167" s="18"/>
      <c r="FC167" s="18"/>
      <c r="FD167" s="18"/>
      <c r="FE167" s="18"/>
      <c r="FF167" s="18"/>
      <c r="FG167" s="18"/>
      <c r="FH167" s="18"/>
      <c r="FI167" s="18"/>
      <c r="FJ167" s="18"/>
      <c r="FK167" s="18"/>
      <c r="FL167" s="18"/>
      <c r="FM167" s="18"/>
      <c r="FN167" s="18"/>
      <c r="FO167" s="18"/>
      <c r="FP167" s="18"/>
      <c r="FQ167" s="18"/>
      <c r="FR167" s="18"/>
      <c r="FS167" s="18"/>
      <c r="FT167" s="18"/>
      <c r="FU167" s="18"/>
      <c r="FV167" s="18"/>
      <c r="FW167" s="18"/>
      <c r="FX167" s="18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</row>
    <row r="168" spans="1:715" s="2" customFormat="1" ht="50" customHeight="1" x14ac:dyDescent="0.2">
      <c r="A168" s="8"/>
      <c r="B168" s="11"/>
      <c r="C168" s="8"/>
      <c r="D168" s="8"/>
      <c r="E168" s="8"/>
      <c r="F168" s="8"/>
      <c r="G168" s="5"/>
      <c r="H168" s="5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18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18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</row>
    <row r="169" spans="1:715" s="2" customFormat="1" ht="50" customHeight="1" x14ac:dyDescent="0.2">
      <c r="A169" s="8"/>
      <c r="B169" s="11"/>
      <c r="C169" s="8"/>
      <c r="D169" s="8"/>
      <c r="E169" s="8"/>
      <c r="F169" s="8"/>
      <c r="G169" s="5"/>
      <c r="H169" s="5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18"/>
      <c r="DV169" s="18"/>
      <c r="DW169" s="18"/>
      <c r="DX169" s="18"/>
      <c r="DY169" s="18"/>
      <c r="DZ169" s="18"/>
      <c r="EA169" s="18"/>
      <c r="EB169" s="18"/>
      <c r="EC169" s="18"/>
      <c r="ED169" s="18"/>
      <c r="EE169" s="18"/>
      <c r="EF169" s="18"/>
      <c r="EG169" s="18"/>
      <c r="EH169" s="18"/>
      <c r="EI169" s="18"/>
      <c r="EJ169" s="18"/>
      <c r="EK169" s="18"/>
      <c r="EL169" s="18"/>
      <c r="EM169" s="18"/>
      <c r="EN169" s="18"/>
      <c r="EO169" s="18"/>
      <c r="EP169" s="18"/>
      <c r="EQ169" s="18"/>
      <c r="ER169" s="18"/>
      <c r="ES169" s="18"/>
      <c r="ET169" s="18"/>
      <c r="EU169" s="18"/>
      <c r="EV169" s="18"/>
      <c r="EW169" s="18"/>
      <c r="EX169" s="18"/>
      <c r="EY169" s="18"/>
      <c r="EZ169" s="18"/>
      <c r="FA169" s="18"/>
      <c r="FB169" s="18"/>
      <c r="FC169" s="18"/>
      <c r="FD169" s="18"/>
      <c r="FE169" s="18"/>
      <c r="FF169" s="18"/>
      <c r="FG169" s="18"/>
      <c r="FH169" s="18"/>
      <c r="FI169" s="18"/>
      <c r="FJ169" s="18"/>
      <c r="FK169" s="18"/>
      <c r="FL169" s="18"/>
      <c r="FM169" s="18"/>
      <c r="FN169" s="18"/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</row>
    <row r="170" spans="1:715" s="2" customFormat="1" ht="50" customHeight="1" x14ac:dyDescent="0.2">
      <c r="A170" s="8"/>
      <c r="B170" s="11"/>
      <c r="C170" s="8"/>
      <c r="D170" s="8"/>
      <c r="E170" s="8"/>
      <c r="F170" s="8"/>
      <c r="G170" s="5"/>
      <c r="H170" s="5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  <c r="DT170" s="18"/>
      <c r="DU170" s="18"/>
      <c r="DV170" s="18"/>
      <c r="DW170" s="18"/>
      <c r="DX170" s="18"/>
      <c r="DY170" s="18"/>
      <c r="DZ170" s="18"/>
      <c r="EA170" s="18"/>
      <c r="EB170" s="18"/>
      <c r="EC170" s="18"/>
      <c r="ED170" s="18"/>
      <c r="EE170" s="18"/>
      <c r="EF170" s="18"/>
      <c r="EG170" s="18"/>
      <c r="EH170" s="18"/>
      <c r="EI170" s="18"/>
      <c r="EJ170" s="18"/>
      <c r="EK170" s="18"/>
      <c r="EL170" s="18"/>
      <c r="EM170" s="18"/>
      <c r="EN170" s="18"/>
      <c r="EO170" s="18"/>
      <c r="EP170" s="18"/>
      <c r="EQ170" s="18"/>
      <c r="ER170" s="18"/>
      <c r="ES170" s="18"/>
      <c r="ET170" s="18"/>
      <c r="EU170" s="18"/>
      <c r="EV170" s="18"/>
      <c r="EW170" s="18"/>
      <c r="EX170" s="18"/>
      <c r="EY170" s="18"/>
      <c r="EZ170" s="18"/>
      <c r="FA170" s="18"/>
      <c r="FB170" s="18"/>
      <c r="FC170" s="18"/>
      <c r="FD170" s="18"/>
      <c r="FE170" s="18"/>
      <c r="FF170" s="18"/>
      <c r="FG170" s="18"/>
      <c r="FH170" s="18"/>
      <c r="FI170" s="18"/>
      <c r="FJ170" s="18"/>
      <c r="FK170" s="18"/>
      <c r="FL170" s="18"/>
      <c r="FM170" s="18"/>
      <c r="FN170" s="18"/>
      <c r="FO170" s="18"/>
      <c r="FP170" s="18"/>
      <c r="FQ170" s="18"/>
      <c r="FR170" s="18"/>
      <c r="FS170" s="18"/>
      <c r="FT170" s="18"/>
      <c r="FU170" s="18"/>
      <c r="FV170" s="18"/>
      <c r="FW170" s="18"/>
      <c r="FX170" s="18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</row>
    <row r="171" spans="1:715" s="2" customFormat="1" ht="50" customHeight="1" x14ac:dyDescent="0.2">
      <c r="A171" s="8"/>
      <c r="B171" s="11"/>
      <c r="C171" s="8"/>
      <c r="D171" s="8"/>
      <c r="E171" s="8"/>
      <c r="F171" s="8"/>
      <c r="G171" s="5"/>
      <c r="H171" s="5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  <c r="DT171" s="18"/>
      <c r="DU171" s="18"/>
      <c r="DV171" s="18"/>
      <c r="DW171" s="18"/>
      <c r="DX171" s="18"/>
      <c r="DY171" s="18"/>
      <c r="DZ171" s="18"/>
      <c r="EA171" s="18"/>
      <c r="EB171" s="18"/>
      <c r="EC171" s="18"/>
      <c r="ED171" s="18"/>
      <c r="EE171" s="18"/>
      <c r="EF171" s="18"/>
      <c r="EG171" s="18"/>
      <c r="EH171" s="18"/>
      <c r="EI171" s="18"/>
      <c r="EJ171" s="18"/>
      <c r="EK171" s="18"/>
      <c r="EL171" s="18"/>
      <c r="EM171" s="18"/>
      <c r="EN171" s="18"/>
      <c r="EO171" s="18"/>
      <c r="EP171" s="18"/>
      <c r="EQ171" s="18"/>
      <c r="ER171" s="18"/>
      <c r="ES171" s="18"/>
      <c r="ET171" s="18"/>
      <c r="EU171" s="18"/>
      <c r="EV171" s="18"/>
      <c r="EW171" s="18"/>
      <c r="EX171" s="18"/>
      <c r="EY171" s="18"/>
      <c r="EZ171" s="18"/>
      <c r="FA171" s="18"/>
      <c r="FB171" s="18"/>
      <c r="FC171" s="18"/>
      <c r="FD171" s="18"/>
      <c r="FE171" s="18"/>
      <c r="FF171" s="18"/>
      <c r="FG171" s="18"/>
      <c r="FH171" s="18"/>
      <c r="FI171" s="18"/>
      <c r="FJ171" s="18"/>
      <c r="FK171" s="18"/>
      <c r="FL171" s="18"/>
      <c r="FM171" s="18"/>
      <c r="FN171" s="18"/>
      <c r="FO171" s="18"/>
      <c r="FP171" s="18"/>
      <c r="FQ171" s="18"/>
      <c r="FR171" s="18"/>
      <c r="FS171" s="18"/>
      <c r="FT171" s="18"/>
      <c r="FU171" s="18"/>
      <c r="FV171" s="18"/>
      <c r="FW171" s="18"/>
      <c r="FX171" s="18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</row>
    <row r="172" spans="1:715" s="2" customFormat="1" ht="50" customHeight="1" x14ac:dyDescent="0.2">
      <c r="A172" s="8"/>
      <c r="B172" s="11"/>
      <c r="C172" s="8"/>
      <c r="D172" s="8"/>
      <c r="E172" s="8"/>
      <c r="F172" s="8"/>
      <c r="G172" s="5"/>
      <c r="H172" s="5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  <c r="DT172" s="18"/>
      <c r="DU172" s="18"/>
      <c r="DV172" s="18"/>
      <c r="DW172" s="18"/>
      <c r="DX172" s="18"/>
      <c r="DY172" s="18"/>
      <c r="DZ172" s="18"/>
      <c r="EA172" s="18"/>
      <c r="EB172" s="18"/>
      <c r="EC172" s="18"/>
      <c r="ED172" s="18"/>
      <c r="EE172" s="18"/>
      <c r="EF172" s="18"/>
      <c r="EG172" s="18"/>
      <c r="EH172" s="18"/>
      <c r="EI172" s="18"/>
      <c r="EJ172" s="18"/>
      <c r="EK172" s="18"/>
      <c r="EL172" s="18"/>
      <c r="EM172" s="18"/>
      <c r="EN172" s="18"/>
      <c r="EO172" s="18"/>
      <c r="EP172" s="18"/>
      <c r="EQ172" s="18"/>
      <c r="ER172" s="18"/>
      <c r="ES172" s="18"/>
      <c r="ET172" s="18"/>
      <c r="EU172" s="18"/>
      <c r="EV172" s="18"/>
      <c r="EW172" s="18"/>
      <c r="EX172" s="18"/>
      <c r="EY172" s="18"/>
      <c r="EZ172" s="18"/>
      <c r="FA172" s="18"/>
      <c r="FB172" s="18"/>
      <c r="FC172" s="18"/>
      <c r="FD172" s="18"/>
      <c r="FE172" s="18"/>
      <c r="FF172" s="18"/>
      <c r="FG172" s="18"/>
      <c r="FH172" s="18"/>
      <c r="FI172" s="18"/>
      <c r="FJ172" s="18"/>
      <c r="FK172" s="18"/>
      <c r="FL172" s="18"/>
      <c r="FM172" s="18"/>
      <c r="FN172" s="18"/>
      <c r="FO172" s="18"/>
      <c r="FP172" s="18"/>
      <c r="FQ172" s="18"/>
      <c r="FR172" s="18"/>
      <c r="FS172" s="18"/>
      <c r="FT172" s="18"/>
      <c r="FU172" s="18"/>
      <c r="FV172" s="18"/>
      <c r="FW172" s="18"/>
      <c r="FX172" s="18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</row>
    <row r="173" spans="1:715" s="2" customFormat="1" ht="50" customHeight="1" x14ac:dyDescent="0.2">
      <c r="A173" s="8"/>
      <c r="B173" s="11"/>
      <c r="C173" s="8"/>
      <c r="D173" s="8"/>
      <c r="E173" s="8"/>
      <c r="F173" s="8"/>
      <c r="G173" s="5"/>
      <c r="H173" s="5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18"/>
      <c r="DV173" s="18"/>
      <c r="DW173" s="18"/>
      <c r="DX173" s="18"/>
      <c r="DY173" s="18"/>
      <c r="DZ173" s="18"/>
      <c r="EA173" s="18"/>
      <c r="EB173" s="18"/>
      <c r="EC173" s="18"/>
      <c r="ED173" s="18"/>
      <c r="EE173" s="18"/>
      <c r="EF173" s="18"/>
      <c r="EG173" s="18"/>
      <c r="EH173" s="18"/>
      <c r="EI173" s="18"/>
      <c r="EJ173" s="18"/>
      <c r="EK173" s="18"/>
      <c r="EL173" s="18"/>
      <c r="EM173" s="18"/>
      <c r="EN173" s="18"/>
      <c r="EO173" s="18"/>
      <c r="EP173" s="18"/>
      <c r="EQ173" s="18"/>
      <c r="ER173" s="18"/>
      <c r="ES173" s="18"/>
      <c r="ET173" s="18"/>
      <c r="EU173" s="18"/>
      <c r="EV173" s="18"/>
      <c r="EW173" s="18"/>
      <c r="EX173" s="18"/>
      <c r="EY173" s="18"/>
      <c r="EZ173" s="18"/>
      <c r="FA173" s="18"/>
      <c r="FB173" s="18"/>
      <c r="FC173" s="18"/>
      <c r="FD173" s="18"/>
      <c r="FE173" s="18"/>
      <c r="FF173" s="18"/>
      <c r="FG173" s="18"/>
      <c r="FH173" s="18"/>
      <c r="FI173" s="18"/>
      <c r="FJ173" s="18"/>
      <c r="FK173" s="18"/>
      <c r="FL173" s="18"/>
      <c r="FM173" s="18"/>
      <c r="FN173" s="18"/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</row>
    <row r="174" spans="1:715" s="2" customFormat="1" ht="50" customHeight="1" x14ac:dyDescent="0.2">
      <c r="A174" s="8"/>
      <c r="B174" s="11"/>
      <c r="C174" s="8"/>
      <c r="D174" s="8"/>
      <c r="E174" s="8"/>
      <c r="F174" s="8"/>
      <c r="G174" s="5"/>
      <c r="H174" s="5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  <c r="DR174" s="18"/>
      <c r="DS174" s="18"/>
      <c r="DT174" s="18"/>
      <c r="DU174" s="18"/>
      <c r="DV174" s="18"/>
      <c r="DW174" s="18"/>
      <c r="DX174" s="18"/>
      <c r="DY174" s="18"/>
      <c r="DZ174" s="18"/>
      <c r="EA174" s="18"/>
      <c r="EB174" s="18"/>
      <c r="EC174" s="18"/>
      <c r="ED174" s="18"/>
      <c r="EE174" s="18"/>
      <c r="EF174" s="18"/>
      <c r="EG174" s="18"/>
      <c r="EH174" s="18"/>
      <c r="EI174" s="18"/>
      <c r="EJ174" s="18"/>
      <c r="EK174" s="18"/>
      <c r="EL174" s="18"/>
      <c r="EM174" s="18"/>
      <c r="EN174" s="18"/>
      <c r="EO174" s="18"/>
      <c r="EP174" s="18"/>
      <c r="EQ174" s="18"/>
      <c r="ER174" s="18"/>
      <c r="ES174" s="18"/>
      <c r="ET174" s="18"/>
      <c r="EU174" s="18"/>
      <c r="EV174" s="18"/>
      <c r="EW174" s="18"/>
      <c r="EX174" s="18"/>
      <c r="EY174" s="18"/>
      <c r="EZ174" s="18"/>
      <c r="FA174" s="18"/>
      <c r="FB174" s="18"/>
      <c r="FC174" s="18"/>
      <c r="FD174" s="18"/>
      <c r="FE174" s="18"/>
      <c r="FF174" s="18"/>
      <c r="FG174" s="18"/>
      <c r="FH174" s="18"/>
      <c r="FI174" s="18"/>
      <c r="FJ174" s="18"/>
      <c r="FK174" s="18"/>
      <c r="FL174" s="18"/>
      <c r="FM174" s="18"/>
      <c r="FN174" s="18"/>
      <c r="FO174" s="18"/>
      <c r="FP174" s="18"/>
      <c r="FQ174" s="18"/>
      <c r="FR174" s="18"/>
      <c r="FS174" s="18"/>
      <c r="FT174" s="18"/>
      <c r="FU174" s="18"/>
      <c r="FV174" s="18"/>
      <c r="FW174" s="18"/>
      <c r="FX174" s="18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</row>
    <row r="175" spans="1:715" s="2" customFormat="1" ht="50" customHeight="1" x14ac:dyDescent="0.2">
      <c r="A175" s="8"/>
      <c r="B175" s="11"/>
      <c r="C175" s="8"/>
      <c r="D175" s="8"/>
      <c r="E175" s="8"/>
      <c r="F175" s="8"/>
      <c r="G175" s="5"/>
      <c r="H175" s="5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18"/>
      <c r="DT175" s="18"/>
      <c r="DU175" s="18"/>
      <c r="DV175" s="18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</row>
    <row r="176" spans="1:715" s="2" customFormat="1" ht="50" customHeight="1" x14ac:dyDescent="0.2">
      <c r="A176" s="8"/>
      <c r="B176" s="11"/>
      <c r="C176" s="8"/>
      <c r="D176" s="8"/>
      <c r="E176" s="8"/>
      <c r="F176" s="8"/>
      <c r="G176" s="5"/>
      <c r="H176" s="5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  <c r="DR176" s="18"/>
      <c r="DS176" s="18"/>
      <c r="DT176" s="18"/>
      <c r="DU176" s="18"/>
      <c r="DV176" s="18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</row>
    <row r="177" spans="1:715" s="2" customFormat="1" ht="50" customHeight="1" x14ac:dyDescent="0.2">
      <c r="A177" s="8"/>
      <c r="B177" s="11"/>
      <c r="C177" s="8"/>
      <c r="D177" s="8"/>
      <c r="E177" s="8"/>
      <c r="F177" s="8"/>
      <c r="G177" s="5"/>
      <c r="H177" s="5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  <c r="DR177" s="18"/>
      <c r="DS177" s="18"/>
      <c r="DT177" s="18"/>
      <c r="DU177" s="18"/>
      <c r="DV177" s="18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</row>
    <row r="178" spans="1:715" s="2" customFormat="1" ht="50" customHeight="1" x14ac:dyDescent="0.2">
      <c r="A178" s="8"/>
      <c r="B178" s="11"/>
      <c r="C178" s="8"/>
      <c r="D178" s="8"/>
      <c r="E178" s="8"/>
      <c r="F178" s="8"/>
      <c r="G178" s="5"/>
      <c r="H178" s="5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  <c r="DR178" s="18"/>
      <c r="DS178" s="18"/>
      <c r="DT178" s="18"/>
      <c r="DU178" s="18"/>
      <c r="DV178" s="18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</row>
    <row r="179" spans="1:715" s="2" customFormat="1" ht="50" customHeight="1" x14ac:dyDescent="0.2">
      <c r="A179" s="8"/>
      <c r="B179" s="11"/>
      <c r="C179" s="8"/>
      <c r="D179" s="8"/>
      <c r="E179" s="8"/>
      <c r="F179" s="8"/>
      <c r="G179" s="5"/>
      <c r="H179" s="5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</row>
    <row r="180" spans="1:715" s="2" customFormat="1" ht="50" customHeight="1" x14ac:dyDescent="0.2">
      <c r="A180" s="8"/>
      <c r="B180" s="11"/>
      <c r="C180" s="8"/>
      <c r="D180" s="8"/>
      <c r="E180" s="8"/>
      <c r="F180" s="8"/>
      <c r="G180" s="5"/>
      <c r="H180" s="5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</row>
    <row r="181" spans="1:715" s="2" customFormat="1" ht="50" customHeight="1" x14ac:dyDescent="0.2">
      <c r="A181" s="8"/>
      <c r="B181" s="11"/>
      <c r="C181" s="8"/>
      <c r="D181" s="8"/>
      <c r="E181" s="8"/>
      <c r="F181" s="8"/>
      <c r="G181" s="5"/>
      <c r="H181" s="5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  <c r="DR181" s="18"/>
      <c r="DS181" s="18"/>
      <c r="DT181" s="18"/>
      <c r="DU181" s="18"/>
      <c r="DV181" s="18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</row>
    <row r="182" spans="1:715" s="2" customFormat="1" ht="50" customHeight="1" x14ac:dyDescent="0.2">
      <c r="A182" s="8"/>
      <c r="B182" s="11"/>
      <c r="C182" s="8"/>
      <c r="D182" s="8"/>
      <c r="E182" s="8"/>
      <c r="F182" s="8"/>
      <c r="G182" s="5"/>
      <c r="H182" s="5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18"/>
      <c r="DT182" s="18"/>
      <c r="DU182" s="18"/>
      <c r="DV182" s="18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</row>
    <row r="183" spans="1:715" s="2" customFormat="1" ht="50" customHeight="1" x14ac:dyDescent="0.2">
      <c r="A183" s="8"/>
      <c r="B183" s="11"/>
      <c r="C183" s="8"/>
      <c r="D183" s="8"/>
      <c r="E183" s="8"/>
      <c r="F183" s="8"/>
      <c r="G183" s="5"/>
      <c r="H183" s="5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  <c r="DR183" s="18"/>
      <c r="DS183" s="18"/>
      <c r="DT183" s="18"/>
      <c r="DU183" s="18"/>
      <c r="DV183" s="18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</row>
    <row r="184" spans="1:715" s="2" customFormat="1" ht="50" customHeight="1" x14ac:dyDescent="0.2">
      <c r="A184" s="8"/>
      <c r="B184" s="11"/>
      <c r="C184" s="8"/>
      <c r="D184" s="8"/>
      <c r="E184" s="8"/>
      <c r="F184" s="8"/>
      <c r="G184" s="5"/>
      <c r="H184" s="5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  <c r="DR184" s="18"/>
      <c r="DS184" s="18"/>
      <c r="DT184" s="18"/>
      <c r="DU184" s="18"/>
      <c r="DV184" s="18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</row>
    <row r="185" spans="1:715" s="2" customFormat="1" ht="50" customHeight="1" x14ac:dyDescent="0.2">
      <c r="A185" s="8"/>
      <c r="B185" s="11"/>
      <c r="C185" s="8"/>
      <c r="D185" s="8"/>
      <c r="E185" s="8"/>
      <c r="F185" s="8"/>
      <c r="G185" s="5"/>
      <c r="H185" s="5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  <c r="DR185" s="18"/>
      <c r="DS185" s="18"/>
      <c r="DT185" s="18"/>
      <c r="DU185" s="18"/>
      <c r="DV185" s="18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</row>
    <row r="186" spans="1:715" s="2" customFormat="1" ht="50" customHeight="1" x14ac:dyDescent="0.2">
      <c r="A186" s="8"/>
      <c r="B186" s="11"/>
      <c r="C186" s="8"/>
      <c r="D186" s="8"/>
      <c r="E186" s="8"/>
      <c r="F186" s="8"/>
      <c r="G186" s="5"/>
      <c r="H186" s="5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  <c r="DR186" s="18"/>
      <c r="DS186" s="18"/>
      <c r="DT186" s="18"/>
      <c r="DU186" s="18"/>
      <c r="DV186" s="18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</row>
    <row r="187" spans="1:715" s="2" customFormat="1" ht="50" customHeight="1" x14ac:dyDescent="0.2">
      <c r="A187" s="8"/>
      <c r="B187" s="11"/>
      <c r="C187" s="8"/>
      <c r="D187" s="8"/>
      <c r="E187" s="8"/>
      <c r="F187" s="8"/>
      <c r="G187" s="5"/>
      <c r="H187" s="5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  <c r="DR187" s="18"/>
      <c r="DS187" s="18"/>
      <c r="DT187" s="18"/>
      <c r="DU187" s="18"/>
      <c r="DV187" s="18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</row>
    <row r="188" spans="1:715" s="2" customFormat="1" ht="50" customHeight="1" x14ac:dyDescent="0.2">
      <c r="A188" s="8"/>
      <c r="B188" s="11"/>
      <c r="C188" s="8"/>
      <c r="D188" s="8"/>
      <c r="E188" s="8"/>
      <c r="F188" s="8"/>
      <c r="G188" s="5"/>
      <c r="H188" s="5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  <c r="DR188" s="18"/>
      <c r="DS188" s="18"/>
      <c r="DT188" s="18"/>
      <c r="DU188" s="18"/>
      <c r="DV188" s="18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</row>
    <row r="189" spans="1:715" s="2" customFormat="1" ht="50" customHeight="1" x14ac:dyDescent="0.2">
      <c r="A189" s="8"/>
      <c r="B189" s="11"/>
      <c r="C189" s="8"/>
      <c r="D189" s="8"/>
      <c r="E189" s="8"/>
      <c r="F189" s="8"/>
      <c r="G189" s="5"/>
      <c r="H189" s="5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18"/>
      <c r="DT189" s="18"/>
      <c r="DU189" s="18"/>
      <c r="DV189" s="18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</row>
    <row r="190" spans="1:715" s="2" customFormat="1" ht="50" customHeight="1" x14ac:dyDescent="0.2">
      <c r="A190" s="8"/>
      <c r="B190" s="11"/>
      <c r="C190" s="8"/>
      <c r="D190" s="8"/>
      <c r="E190" s="8"/>
      <c r="F190" s="8"/>
      <c r="G190" s="5"/>
      <c r="H190" s="5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18"/>
      <c r="DV190" s="18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</row>
    <row r="191" spans="1:715" s="2" customFormat="1" ht="50" customHeight="1" x14ac:dyDescent="0.2">
      <c r="A191" s="8"/>
      <c r="B191" s="11"/>
      <c r="C191" s="8"/>
      <c r="D191" s="8"/>
      <c r="E191" s="8"/>
      <c r="F191" s="8"/>
      <c r="G191" s="5"/>
      <c r="H191" s="5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  <c r="DR191" s="18"/>
      <c r="DS191" s="18"/>
      <c r="DT191" s="18"/>
      <c r="DU191" s="18"/>
      <c r="DV191" s="18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</row>
    <row r="192" spans="1:715" s="2" customFormat="1" ht="50" customHeight="1" x14ac:dyDescent="0.2">
      <c r="A192" s="8"/>
      <c r="B192" s="11"/>
      <c r="C192" s="8"/>
      <c r="D192" s="8"/>
      <c r="E192" s="8"/>
      <c r="F192" s="8"/>
      <c r="G192" s="5"/>
      <c r="H192" s="5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</row>
    <row r="193" spans="1:715" s="2" customFormat="1" ht="50" customHeight="1" x14ac:dyDescent="0.2">
      <c r="A193" s="8"/>
      <c r="B193" s="11"/>
      <c r="C193" s="8"/>
      <c r="D193" s="8"/>
      <c r="E193" s="8"/>
      <c r="F193" s="8"/>
      <c r="G193" s="5"/>
      <c r="H193" s="5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</row>
    <row r="194" spans="1:715" s="2" customFormat="1" ht="50" customHeight="1" x14ac:dyDescent="0.2">
      <c r="A194" s="8"/>
      <c r="B194" s="11"/>
      <c r="C194" s="8"/>
      <c r="D194" s="8"/>
      <c r="E194" s="8"/>
      <c r="F194" s="8"/>
      <c r="G194" s="5"/>
      <c r="H194" s="5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</row>
    <row r="195" spans="1:715" s="2" customFormat="1" ht="50" customHeight="1" x14ac:dyDescent="0.2">
      <c r="A195" s="8"/>
      <c r="B195" s="11"/>
      <c r="C195" s="8"/>
      <c r="D195" s="8"/>
      <c r="E195" s="8"/>
      <c r="F195" s="8"/>
      <c r="G195" s="5"/>
      <c r="H195" s="5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</row>
    <row r="196" spans="1:715" s="2" customFormat="1" ht="50" customHeight="1" x14ac:dyDescent="0.2">
      <c r="A196" s="8"/>
      <c r="B196" s="11"/>
      <c r="C196" s="8"/>
      <c r="D196" s="8"/>
      <c r="E196" s="8"/>
      <c r="F196" s="8"/>
      <c r="G196" s="5"/>
      <c r="H196" s="5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</row>
    <row r="197" spans="1:715" s="2" customFormat="1" ht="50" customHeight="1" x14ac:dyDescent="0.2">
      <c r="A197" s="8"/>
      <c r="B197" s="11"/>
      <c r="C197" s="8"/>
      <c r="D197" s="8"/>
      <c r="E197" s="8"/>
      <c r="F197" s="8"/>
      <c r="G197" s="5"/>
      <c r="H197" s="5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</row>
    <row r="198" spans="1:715" s="2" customFormat="1" ht="50" customHeight="1" x14ac:dyDescent="0.2">
      <c r="A198" s="8"/>
      <c r="B198" s="11"/>
      <c r="C198" s="8"/>
      <c r="D198" s="8"/>
      <c r="E198" s="8"/>
      <c r="F198" s="8"/>
      <c r="G198" s="5"/>
      <c r="H198" s="5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</row>
    <row r="199" spans="1:715" s="2" customFormat="1" ht="50" customHeight="1" x14ac:dyDescent="0.2">
      <c r="A199" s="8"/>
      <c r="B199" s="11"/>
      <c r="C199" s="8"/>
      <c r="D199" s="8"/>
      <c r="E199" s="8"/>
      <c r="F199" s="8"/>
      <c r="G199" s="5"/>
      <c r="H199" s="5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</row>
    <row r="200" spans="1:715" s="2" customFormat="1" ht="50" customHeight="1" x14ac:dyDescent="0.2">
      <c r="A200" s="8"/>
      <c r="B200" s="11"/>
      <c r="C200" s="8"/>
      <c r="D200" s="8"/>
      <c r="E200" s="8"/>
      <c r="F200" s="8"/>
      <c r="G200" s="5"/>
      <c r="H200" s="5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</row>
    <row r="201" spans="1:715" s="2" customFormat="1" ht="50" customHeight="1" x14ac:dyDescent="0.2">
      <c r="A201" s="8"/>
      <c r="B201" s="11"/>
      <c r="C201" s="8"/>
      <c r="D201" s="8"/>
      <c r="E201" s="8"/>
      <c r="F201" s="8"/>
      <c r="G201" s="5"/>
      <c r="H201" s="5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</row>
    <row r="202" spans="1:715" s="2" customFormat="1" ht="50" customHeight="1" x14ac:dyDescent="0.2">
      <c r="A202" s="8"/>
      <c r="B202" s="11"/>
      <c r="C202" s="8"/>
      <c r="D202" s="8"/>
      <c r="E202" s="8"/>
      <c r="F202" s="8"/>
      <c r="G202" s="5"/>
      <c r="H202" s="5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</row>
    <row r="203" spans="1:715" s="2" customFormat="1" ht="50" customHeight="1" x14ac:dyDescent="0.2">
      <c r="A203" s="8"/>
      <c r="B203" s="11"/>
      <c r="C203" s="8"/>
      <c r="D203" s="8"/>
      <c r="E203" s="8"/>
      <c r="F203" s="8"/>
      <c r="G203" s="5"/>
      <c r="H203" s="5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</row>
    <row r="204" spans="1:715" s="2" customFormat="1" ht="50" customHeight="1" x14ac:dyDescent="0.2">
      <c r="A204" s="8"/>
      <c r="B204" s="11"/>
      <c r="C204" s="8"/>
      <c r="D204" s="8"/>
      <c r="E204" s="8"/>
      <c r="F204" s="8"/>
      <c r="G204" s="5"/>
      <c r="H204" s="5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</row>
    <row r="205" spans="1:715" s="2" customFormat="1" ht="50" customHeight="1" x14ac:dyDescent="0.2">
      <c r="A205" s="8"/>
      <c r="B205" s="11"/>
      <c r="C205" s="8"/>
      <c r="D205" s="8"/>
      <c r="E205" s="8"/>
      <c r="F205" s="8"/>
      <c r="G205" s="5"/>
      <c r="H205" s="5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</row>
    <row r="206" spans="1:715" s="2" customFormat="1" ht="50" customHeight="1" x14ac:dyDescent="0.2">
      <c r="A206" s="8"/>
      <c r="B206" s="11"/>
      <c r="C206" s="8"/>
      <c r="D206" s="8"/>
      <c r="E206" s="8"/>
      <c r="F206" s="8"/>
      <c r="G206" s="5"/>
      <c r="H206" s="5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</row>
    <row r="207" spans="1:715" s="2" customFormat="1" ht="50" customHeight="1" x14ac:dyDescent="0.2">
      <c r="A207" s="8"/>
      <c r="B207" s="11"/>
      <c r="C207" s="8"/>
      <c r="D207" s="8"/>
      <c r="E207" s="8"/>
      <c r="F207" s="8"/>
      <c r="G207" s="5"/>
      <c r="H207" s="5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</row>
    <row r="208" spans="1:715" s="2" customFormat="1" ht="50" customHeight="1" x14ac:dyDescent="0.2">
      <c r="A208" s="8"/>
      <c r="B208" s="11"/>
      <c r="C208" s="8"/>
      <c r="D208" s="8"/>
      <c r="E208" s="8"/>
      <c r="F208" s="8"/>
      <c r="G208" s="5"/>
      <c r="H208" s="5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</row>
    <row r="209" spans="1:715" s="2" customFormat="1" ht="50" customHeight="1" x14ac:dyDescent="0.2">
      <c r="A209" s="8"/>
      <c r="B209" s="11"/>
      <c r="C209" s="8"/>
      <c r="D209" s="8"/>
      <c r="E209" s="8"/>
      <c r="F209" s="8"/>
      <c r="G209" s="5"/>
      <c r="H209" s="5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</row>
    <row r="210" spans="1:715" s="2" customFormat="1" ht="50" customHeight="1" x14ac:dyDescent="0.2">
      <c r="A210" s="8"/>
      <c r="B210" s="11"/>
      <c r="C210" s="8"/>
      <c r="D210" s="8"/>
      <c r="E210" s="8"/>
      <c r="F210" s="8"/>
      <c r="G210" s="5"/>
      <c r="H210" s="5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</row>
    <row r="211" spans="1:715" s="2" customFormat="1" ht="50" customHeight="1" x14ac:dyDescent="0.2">
      <c r="A211" s="8"/>
      <c r="B211" s="11"/>
      <c r="C211" s="8"/>
      <c r="D211" s="8"/>
      <c r="E211" s="8"/>
      <c r="F211" s="8"/>
      <c r="G211" s="5"/>
      <c r="H211" s="5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</row>
    <row r="212" spans="1:715" s="2" customFormat="1" ht="50" customHeight="1" x14ac:dyDescent="0.2">
      <c r="A212" s="8"/>
      <c r="B212" s="11"/>
      <c r="C212" s="8"/>
      <c r="D212" s="8"/>
      <c r="E212" s="8"/>
      <c r="F212" s="8"/>
      <c r="G212" s="5"/>
      <c r="H212" s="5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</row>
    <row r="213" spans="1:715" s="2" customFormat="1" ht="50" customHeight="1" x14ac:dyDescent="0.2">
      <c r="A213" s="8"/>
      <c r="B213" s="11"/>
      <c r="C213" s="8"/>
      <c r="D213" s="8"/>
      <c r="E213" s="8"/>
      <c r="F213" s="8"/>
      <c r="G213" s="5"/>
      <c r="H213" s="5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</row>
    <row r="214" spans="1:715" s="2" customFormat="1" ht="50" customHeight="1" x14ac:dyDescent="0.2">
      <c r="A214" s="8"/>
      <c r="B214" s="11"/>
      <c r="C214" s="8"/>
      <c r="D214" s="8"/>
      <c r="E214" s="8"/>
      <c r="F214" s="8"/>
      <c r="G214" s="5"/>
      <c r="H214" s="5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</row>
    <row r="215" spans="1:715" s="2" customFormat="1" ht="50" customHeight="1" x14ac:dyDescent="0.2">
      <c r="A215" s="8"/>
      <c r="B215" s="11"/>
      <c r="C215" s="8"/>
      <c r="D215" s="8"/>
      <c r="E215" s="8"/>
      <c r="F215" s="8"/>
      <c r="G215" s="5"/>
      <c r="H215" s="5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</row>
    <row r="216" spans="1:715" s="2" customFormat="1" ht="50" customHeight="1" x14ac:dyDescent="0.2">
      <c r="A216" s="8"/>
      <c r="B216" s="11"/>
      <c r="C216" s="8"/>
      <c r="D216" s="8"/>
      <c r="E216" s="8"/>
      <c r="F216" s="8"/>
      <c r="G216" s="5"/>
      <c r="H216" s="5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</row>
    <row r="217" spans="1:715" s="2" customFormat="1" ht="50" customHeight="1" x14ac:dyDescent="0.2">
      <c r="A217" s="8"/>
      <c r="B217" s="11"/>
      <c r="C217" s="8"/>
      <c r="D217" s="8"/>
      <c r="E217" s="8"/>
      <c r="F217" s="8"/>
      <c r="G217" s="5"/>
      <c r="H217" s="5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</row>
    <row r="218" spans="1:715" s="2" customFormat="1" ht="50" customHeight="1" x14ac:dyDescent="0.2">
      <c r="A218" s="8"/>
      <c r="B218" s="11"/>
      <c r="C218" s="8"/>
      <c r="D218" s="8"/>
      <c r="E218" s="8"/>
      <c r="F218" s="8"/>
      <c r="G218" s="5"/>
      <c r="H218" s="5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</row>
    <row r="219" spans="1:715" s="2" customFormat="1" ht="50" customHeight="1" x14ac:dyDescent="0.2">
      <c r="A219" s="8"/>
      <c r="B219" s="11"/>
      <c r="C219" s="8"/>
      <c r="D219" s="8"/>
      <c r="E219" s="8"/>
      <c r="F219" s="8"/>
      <c r="G219" s="5"/>
      <c r="H219" s="5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</row>
    <row r="220" spans="1:715" s="2" customFormat="1" ht="50" customHeight="1" x14ac:dyDescent="0.2">
      <c r="A220" s="8"/>
      <c r="B220" s="11"/>
      <c r="C220" s="8"/>
      <c r="D220" s="8"/>
      <c r="E220" s="8"/>
      <c r="F220" s="8"/>
      <c r="G220" s="5"/>
      <c r="H220" s="5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</row>
    <row r="221" spans="1:715" s="2" customFormat="1" ht="50" customHeight="1" x14ac:dyDescent="0.2">
      <c r="A221" s="8"/>
      <c r="B221" s="11"/>
      <c r="C221" s="8"/>
      <c r="D221" s="8"/>
      <c r="E221" s="8"/>
      <c r="F221" s="8"/>
      <c r="G221" s="5"/>
      <c r="H221" s="5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</row>
    <row r="222" spans="1:715" s="2" customFormat="1" ht="50" customHeight="1" x14ac:dyDescent="0.2">
      <c r="A222" s="8"/>
      <c r="B222" s="11"/>
      <c r="C222" s="8"/>
      <c r="D222" s="8"/>
      <c r="E222" s="8"/>
      <c r="F222" s="8"/>
      <c r="G222" s="5"/>
      <c r="H222" s="5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</row>
    <row r="223" spans="1:715" s="2" customFormat="1" ht="50" customHeight="1" x14ac:dyDescent="0.2">
      <c r="A223" s="8"/>
      <c r="B223" s="11"/>
      <c r="C223" s="8"/>
      <c r="D223" s="8"/>
      <c r="E223" s="8"/>
      <c r="F223" s="8"/>
      <c r="G223" s="5"/>
      <c r="H223" s="5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</row>
    <row r="224" spans="1:715" s="2" customFormat="1" ht="50" customHeight="1" x14ac:dyDescent="0.2">
      <c r="A224" s="8"/>
      <c r="B224" s="11"/>
      <c r="C224" s="8"/>
      <c r="D224" s="8"/>
      <c r="E224" s="8"/>
      <c r="F224" s="8"/>
      <c r="G224" s="5"/>
      <c r="H224" s="5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</row>
    <row r="225" spans="1:715" s="2" customFormat="1" ht="50" customHeight="1" x14ac:dyDescent="0.2">
      <c r="A225" s="8"/>
      <c r="B225" s="11"/>
      <c r="C225" s="8"/>
      <c r="D225" s="8"/>
      <c r="E225" s="8"/>
      <c r="F225" s="8"/>
      <c r="G225" s="5"/>
      <c r="H225" s="5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</row>
    <row r="226" spans="1:715" s="2" customFormat="1" ht="50" customHeight="1" x14ac:dyDescent="0.2">
      <c r="A226" s="8"/>
      <c r="B226" s="11"/>
      <c r="C226" s="8"/>
      <c r="D226" s="8"/>
      <c r="E226" s="8"/>
      <c r="F226" s="8"/>
      <c r="G226" s="5"/>
      <c r="H226" s="5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</row>
    <row r="227" spans="1:715" s="2" customFormat="1" ht="50" customHeight="1" x14ac:dyDescent="0.2">
      <c r="A227" s="8"/>
      <c r="B227" s="11"/>
      <c r="C227" s="8"/>
      <c r="D227" s="8"/>
      <c r="E227" s="8"/>
      <c r="F227" s="8"/>
      <c r="G227" s="5"/>
      <c r="H227" s="5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</row>
    <row r="228" spans="1:715" s="2" customFormat="1" ht="50" customHeight="1" x14ac:dyDescent="0.2">
      <c r="A228" s="8"/>
      <c r="B228" s="11"/>
      <c r="C228" s="8"/>
      <c r="D228" s="8"/>
      <c r="E228" s="8"/>
      <c r="F228" s="8"/>
      <c r="G228" s="5"/>
      <c r="H228" s="5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</row>
    <row r="229" spans="1:715" s="2" customFormat="1" ht="50" customHeight="1" x14ac:dyDescent="0.2">
      <c r="A229" s="8"/>
      <c r="B229" s="11"/>
      <c r="C229" s="8"/>
      <c r="D229" s="8"/>
      <c r="E229" s="8"/>
      <c r="F229" s="8"/>
      <c r="G229" s="5"/>
      <c r="H229" s="5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</row>
    <row r="230" spans="1:715" s="2" customFormat="1" ht="50" customHeight="1" x14ac:dyDescent="0.2">
      <c r="A230" s="8"/>
      <c r="B230" s="11"/>
      <c r="C230" s="8"/>
      <c r="D230" s="8"/>
      <c r="E230" s="8"/>
      <c r="F230" s="8"/>
      <c r="G230" s="5"/>
      <c r="H230" s="5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</row>
    <row r="231" spans="1:715" s="2" customFormat="1" ht="50" customHeight="1" x14ac:dyDescent="0.2">
      <c r="A231" s="8"/>
      <c r="B231" s="11"/>
      <c r="C231" s="8"/>
      <c r="D231" s="8"/>
      <c r="E231" s="8"/>
      <c r="F231" s="8"/>
      <c r="G231" s="5"/>
      <c r="H231" s="5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</row>
    <row r="232" spans="1:715" s="2" customFormat="1" ht="50" customHeight="1" x14ac:dyDescent="0.2">
      <c r="A232" s="8"/>
      <c r="B232" s="11"/>
      <c r="C232" s="8"/>
      <c r="D232" s="8"/>
      <c r="E232" s="8"/>
      <c r="F232" s="8"/>
      <c r="G232" s="5"/>
      <c r="H232" s="5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</row>
    <row r="233" spans="1:715" s="2" customFormat="1" ht="50" customHeight="1" x14ac:dyDescent="0.2">
      <c r="A233" s="8"/>
      <c r="B233" s="11"/>
      <c r="C233" s="8"/>
      <c r="D233" s="8"/>
      <c r="E233" s="8"/>
      <c r="F233" s="8"/>
      <c r="G233" s="5"/>
      <c r="H233" s="5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</row>
    <row r="234" spans="1:715" s="2" customFormat="1" ht="50" customHeight="1" x14ac:dyDescent="0.2">
      <c r="A234" s="8"/>
      <c r="B234" s="11"/>
      <c r="C234" s="8"/>
      <c r="D234" s="8"/>
      <c r="E234" s="8"/>
      <c r="F234" s="8"/>
      <c r="G234" s="5"/>
      <c r="H234" s="5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</row>
    <row r="235" spans="1:715" s="2" customFormat="1" ht="50" customHeight="1" x14ac:dyDescent="0.2">
      <c r="A235" s="8"/>
      <c r="B235" s="11"/>
      <c r="C235" s="8"/>
      <c r="D235" s="8"/>
      <c r="E235" s="8"/>
      <c r="F235" s="8"/>
      <c r="G235" s="5"/>
      <c r="H235" s="5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</row>
    <row r="236" spans="1:715" s="2" customFormat="1" ht="50" customHeight="1" x14ac:dyDescent="0.2">
      <c r="A236" s="8"/>
      <c r="B236" s="11"/>
      <c r="C236" s="8"/>
      <c r="D236" s="8"/>
      <c r="E236" s="8"/>
      <c r="F236" s="8"/>
      <c r="G236" s="5"/>
      <c r="H236" s="5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</row>
    <row r="237" spans="1:715" s="2" customFormat="1" ht="50" customHeight="1" x14ac:dyDescent="0.2">
      <c r="A237" s="8"/>
      <c r="B237" s="11"/>
      <c r="C237" s="8"/>
      <c r="D237" s="8"/>
      <c r="E237" s="8"/>
      <c r="F237" s="8"/>
      <c r="G237" s="5"/>
      <c r="H237" s="5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</row>
    <row r="238" spans="1:715" s="2" customFormat="1" ht="50" customHeight="1" x14ac:dyDescent="0.2">
      <c r="A238" s="8"/>
      <c r="B238" s="11"/>
      <c r="C238" s="8"/>
      <c r="D238" s="8"/>
      <c r="E238" s="8"/>
      <c r="F238" s="8"/>
      <c r="G238" s="5"/>
      <c r="H238" s="5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</row>
    <row r="239" spans="1:715" s="2" customFormat="1" ht="50" customHeight="1" x14ac:dyDescent="0.2">
      <c r="A239" s="8"/>
      <c r="B239" s="11"/>
      <c r="C239" s="8"/>
      <c r="D239" s="8"/>
      <c r="E239" s="8"/>
      <c r="F239" s="8"/>
      <c r="G239" s="5"/>
      <c r="H239" s="5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</row>
    <row r="240" spans="1:715" s="2" customFormat="1" ht="50" customHeight="1" x14ac:dyDescent="0.2">
      <c r="A240" s="8"/>
      <c r="B240" s="11"/>
      <c r="C240" s="8"/>
      <c r="D240" s="8"/>
      <c r="E240" s="8"/>
      <c r="F240" s="8"/>
      <c r="G240" s="5"/>
      <c r="H240" s="5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</row>
    <row r="241" spans="1:715" s="2" customFormat="1" ht="50" customHeight="1" x14ac:dyDescent="0.2">
      <c r="A241" s="8"/>
      <c r="B241" s="11"/>
      <c r="C241" s="8"/>
      <c r="D241" s="8"/>
      <c r="E241" s="8"/>
      <c r="F241" s="8"/>
      <c r="G241" s="5"/>
      <c r="H241" s="5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</row>
    <row r="242" spans="1:715" s="2" customFormat="1" ht="50" customHeight="1" x14ac:dyDescent="0.2">
      <c r="A242" s="8"/>
      <c r="B242" s="11"/>
      <c r="C242" s="8"/>
      <c r="D242" s="8"/>
      <c r="E242" s="8"/>
      <c r="F242" s="8"/>
      <c r="G242" s="5"/>
      <c r="H242" s="5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</row>
    <row r="243" spans="1:715" s="2" customFormat="1" ht="50" customHeight="1" x14ac:dyDescent="0.2">
      <c r="A243" s="8"/>
      <c r="B243" s="11"/>
      <c r="C243" s="8"/>
      <c r="D243" s="8"/>
      <c r="E243" s="8"/>
      <c r="F243" s="8"/>
      <c r="G243" s="5"/>
      <c r="H243" s="5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</row>
    <row r="244" spans="1:715" s="2" customFormat="1" ht="50" customHeight="1" x14ac:dyDescent="0.2">
      <c r="A244" s="8"/>
      <c r="B244" s="11"/>
      <c r="C244" s="8"/>
      <c r="D244" s="8"/>
      <c r="E244" s="8"/>
      <c r="F244" s="8"/>
      <c r="G244" s="5"/>
      <c r="H244" s="5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</row>
    <row r="245" spans="1:715" s="2" customFormat="1" ht="50" customHeight="1" x14ac:dyDescent="0.2">
      <c r="A245" s="8"/>
      <c r="B245" s="11"/>
      <c r="C245" s="8"/>
      <c r="D245" s="8"/>
      <c r="E245" s="8"/>
      <c r="F245" s="8"/>
      <c r="G245" s="5"/>
      <c r="H245" s="5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</row>
    <row r="246" spans="1:715" s="2" customFormat="1" ht="50" customHeight="1" x14ac:dyDescent="0.2">
      <c r="A246" s="8"/>
      <c r="B246" s="11"/>
      <c r="C246" s="8"/>
      <c r="D246" s="8"/>
      <c r="E246" s="8"/>
      <c r="F246" s="8"/>
      <c r="G246" s="5"/>
      <c r="H246" s="5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</row>
    <row r="247" spans="1:715" s="2" customFormat="1" ht="50" customHeight="1" x14ac:dyDescent="0.2">
      <c r="A247" s="8"/>
      <c r="B247" s="11"/>
      <c r="C247" s="8"/>
      <c r="D247" s="8"/>
      <c r="E247" s="8"/>
      <c r="F247" s="8"/>
      <c r="G247" s="5"/>
      <c r="H247" s="5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</row>
    <row r="248" spans="1:715" s="2" customFormat="1" ht="50" customHeight="1" x14ac:dyDescent="0.2">
      <c r="A248" s="8"/>
      <c r="B248" s="11"/>
      <c r="C248" s="8"/>
      <c r="D248" s="8"/>
      <c r="E248" s="8"/>
      <c r="F248" s="8"/>
      <c r="G248" s="5"/>
      <c r="H248" s="5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</row>
    <row r="249" spans="1:715" s="2" customFormat="1" ht="50" customHeight="1" x14ac:dyDescent="0.2">
      <c r="A249" s="8"/>
      <c r="B249" s="11"/>
      <c r="C249" s="8"/>
      <c r="D249" s="8"/>
      <c r="E249" s="8"/>
      <c r="F249" s="8"/>
      <c r="G249" s="5"/>
      <c r="H249" s="5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</row>
    <row r="250" spans="1:715" s="2" customFormat="1" ht="50" customHeight="1" x14ac:dyDescent="0.2">
      <c r="A250" s="8"/>
      <c r="B250" s="11"/>
      <c r="C250" s="8"/>
      <c r="D250" s="8"/>
      <c r="E250" s="8"/>
      <c r="F250" s="8"/>
      <c r="G250" s="5"/>
      <c r="H250" s="5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</row>
    <row r="251" spans="1:715" s="2" customFormat="1" ht="50" customHeight="1" x14ac:dyDescent="0.2">
      <c r="A251" s="8"/>
      <c r="B251" s="11"/>
      <c r="C251" s="8"/>
      <c r="D251" s="8"/>
      <c r="E251" s="8"/>
      <c r="F251" s="8"/>
      <c r="G251" s="5"/>
      <c r="H251" s="5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</row>
    <row r="252" spans="1:715" s="2" customFormat="1" ht="50" customHeight="1" x14ac:dyDescent="0.2">
      <c r="A252" s="8"/>
      <c r="B252" s="11"/>
      <c r="C252" s="8"/>
      <c r="D252" s="8"/>
      <c r="E252" s="8"/>
      <c r="F252" s="8"/>
      <c r="G252" s="5"/>
      <c r="H252" s="5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</row>
    <row r="253" spans="1:715" s="2" customFormat="1" ht="50" customHeight="1" x14ac:dyDescent="0.2">
      <c r="A253" s="8"/>
      <c r="B253" s="11"/>
      <c r="C253" s="8"/>
      <c r="D253" s="8"/>
      <c r="E253" s="8"/>
      <c r="F253" s="8"/>
      <c r="G253" s="5"/>
      <c r="H253" s="5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</row>
    <row r="254" spans="1:715" s="2" customFormat="1" ht="50" customHeight="1" x14ac:dyDescent="0.2">
      <c r="A254" s="8"/>
      <c r="B254" s="11"/>
      <c r="C254" s="8"/>
      <c r="D254" s="8"/>
      <c r="E254" s="8"/>
      <c r="F254" s="8"/>
      <c r="G254" s="5"/>
      <c r="H254" s="5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</row>
    <row r="255" spans="1:715" s="2" customFormat="1" ht="50" customHeight="1" x14ac:dyDescent="0.2">
      <c r="A255" s="8"/>
      <c r="B255" s="11"/>
      <c r="C255" s="8"/>
      <c r="D255" s="8"/>
      <c r="E255" s="8"/>
      <c r="F255" s="8"/>
      <c r="G255" s="5"/>
      <c r="H255" s="5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</row>
    <row r="256" spans="1:715" s="2" customFormat="1" ht="50" customHeight="1" x14ac:dyDescent="0.2">
      <c r="A256" s="8"/>
      <c r="B256" s="11"/>
      <c r="C256" s="8"/>
      <c r="D256" s="8"/>
      <c r="E256" s="8"/>
      <c r="F256" s="8"/>
      <c r="G256" s="5"/>
      <c r="H256" s="5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</row>
    <row r="257" spans="1:715" s="2" customFormat="1" ht="50" customHeight="1" x14ac:dyDescent="0.2">
      <c r="A257" s="8"/>
      <c r="B257" s="11"/>
      <c r="C257" s="8"/>
      <c r="D257" s="8"/>
      <c r="E257" s="8"/>
      <c r="F257" s="8"/>
      <c r="G257" s="5"/>
      <c r="H257" s="5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</row>
    <row r="258" spans="1:715" s="2" customFormat="1" ht="50" customHeight="1" x14ac:dyDescent="0.2">
      <c r="A258" s="8"/>
      <c r="B258" s="11"/>
      <c r="C258" s="8"/>
      <c r="D258" s="8"/>
      <c r="E258" s="8"/>
      <c r="F258" s="8"/>
      <c r="G258" s="5"/>
      <c r="H258" s="5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</row>
    <row r="259" spans="1:715" s="2" customFormat="1" ht="50" customHeight="1" x14ac:dyDescent="0.2">
      <c r="A259" s="8"/>
      <c r="B259" s="11"/>
      <c r="C259" s="8"/>
      <c r="D259" s="8"/>
      <c r="E259" s="8"/>
      <c r="F259" s="8"/>
      <c r="G259" s="5"/>
      <c r="H259" s="5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</row>
    <row r="260" spans="1:715" s="2" customFormat="1" ht="50" customHeight="1" x14ac:dyDescent="0.2">
      <c r="A260" s="8"/>
      <c r="B260" s="11"/>
      <c r="C260" s="8"/>
      <c r="D260" s="8"/>
      <c r="E260" s="8"/>
      <c r="F260" s="8"/>
      <c r="G260" s="5"/>
      <c r="H260" s="5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</row>
    <row r="261" spans="1:715" s="2" customFormat="1" ht="50" customHeight="1" x14ac:dyDescent="0.2">
      <c r="A261" s="8"/>
      <c r="B261" s="11"/>
      <c r="C261" s="8"/>
      <c r="D261" s="8"/>
      <c r="E261" s="8"/>
      <c r="F261" s="8"/>
      <c r="G261" s="5"/>
      <c r="H261" s="5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</row>
    <row r="262" spans="1:715" s="2" customFormat="1" ht="50" customHeight="1" x14ac:dyDescent="0.2">
      <c r="A262" s="8"/>
      <c r="B262" s="11"/>
      <c r="C262" s="8"/>
      <c r="D262" s="8"/>
      <c r="E262" s="8"/>
      <c r="F262" s="8"/>
      <c r="G262" s="5"/>
      <c r="H262" s="5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</row>
    <row r="263" spans="1:715" s="2" customFormat="1" ht="50" customHeight="1" x14ac:dyDescent="0.2">
      <c r="A263" s="8"/>
      <c r="B263" s="11"/>
      <c r="C263" s="8"/>
      <c r="D263" s="8"/>
      <c r="E263" s="8"/>
      <c r="F263" s="8"/>
      <c r="G263" s="5"/>
      <c r="H263" s="5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</row>
    <row r="264" spans="1:715" s="2" customFormat="1" ht="50" customHeight="1" x14ac:dyDescent="0.2">
      <c r="A264" s="8"/>
      <c r="B264" s="11"/>
      <c r="C264" s="8"/>
      <c r="D264" s="8"/>
      <c r="E264" s="8"/>
      <c r="F264" s="8"/>
      <c r="G264" s="5"/>
      <c r="H264" s="5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</row>
    <row r="265" spans="1:715" s="2" customFormat="1" ht="50" customHeight="1" x14ac:dyDescent="0.2">
      <c r="A265" s="8"/>
      <c r="B265" s="11"/>
      <c r="C265" s="8"/>
      <c r="D265" s="8"/>
      <c r="E265" s="8"/>
      <c r="F265" s="8"/>
      <c r="G265" s="5"/>
      <c r="H265" s="5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</row>
    <row r="266" spans="1:715" s="2" customFormat="1" ht="50" customHeight="1" x14ac:dyDescent="0.2">
      <c r="A266" s="8"/>
      <c r="B266" s="11"/>
      <c r="C266" s="8"/>
      <c r="D266" s="8"/>
      <c r="E266" s="8"/>
      <c r="F266" s="8"/>
      <c r="G266" s="5"/>
      <c r="H266" s="5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</row>
    <row r="267" spans="1:715" s="2" customFormat="1" ht="50" customHeight="1" x14ac:dyDescent="0.2">
      <c r="A267" s="8"/>
      <c r="B267" s="11"/>
      <c r="C267" s="8"/>
      <c r="D267" s="8"/>
      <c r="E267" s="8"/>
      <c r="F267" s="8"/>
      <c r="G267" s="5"/>
      <c r="H267" s="5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</row>
    <row r="268" spans="1:715" s="2" customFormat="1" ht="50" customHeight="1" x14ac:dyDescent="0.2">
      <c r="A268" s="8"/>
      <c r="B268" s="11"/>
      <c r="C268" s="8"/>
      <c r="D268" s="8"/>
      <c r="E268" s="8"/>
      <c r="F268" s="8"/>
      <c r="G268" s="5"/>
      <c r="H268" s="5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</row>
    <row r="269" spans="1:715" s="2" customFormat="1" ht="50" customHeight="1" x14ac:dyDescent="0.2">
      <c r="A269" s="8"/>
      <c r="B269" s="11"/>
      <c r="C269" s="8"/>
      <c r="D269" s="8"/>
      <c r="E269" s="8"/>
      <c r="F269" s="8"/>
      <c r="G269" s="5"/>
      <c r="H269" s="5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</row>
    <row r="270" spans="1:715" s="2" customFormat="1" ht="50" customHeight="1" x14ac:dyDescent="0.2">
      <c r="A270" s="8"/>
      <c r="B270" s="11"/>
      <c r="C270" s="8"/>
      <c r="D270" s="8"/>
      <c r="E270" s="8"/>
      <c r="F270" s="8"/>
      <c r="G270" s="5"/>
      <c r="H270" s="5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</row>
    <row r="271" spans="1:715" s="2" customFormat="1" ht="50" customHeight="1" x14ac:dyDescent="0.2">
      <c r="A271" s="8"/>
      <c r="B271" s="11"/>
      <c r="C271" s="8"/>
      <c r="D271" s="8"/>
      <c r="E271" s="8"/>
      <c r="F271" s="8"/>
      <c r="G271" s="5"/>
      <c r="H271" s="5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</row>
    <row r="272" spans="1:715" s="2" customFormat="1" ht="50" customHeight="1" x14ac:dyDescent="0.2">
      <c r="A272" s="8"/>
      <c r="B272" s="11"/>
      <c r="C272" s="8"/>
      <c r="D272" s="8"/>
      <c r="E272" s="8"/>
      <c r="F272" s="8"/>
      <c r="G272" s="5"/>
      <c r="H272" s="5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</row>
    <row r="273" spans="1:715" s="2" customFormat="1" ht="50" customHeight="1" x14ac:dyDescent="0.2">
      <c r="A273" s="8"/>
      <c r="B273" s="11"/>
      <c r="C273" s="8"/>
      <c r="D273" s="8"/>
      <c r="E273" s="8"/>
      <c r="F273" s="8"/>
      <c r="G273" s="5"/>
      <c r="H273" s="5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</row>
    <row r="274" spans="1:715" s="2" customFormat="1" ht="50" customHeight="1" x14ac:dyDescent="0.2">
      <c r="A274" s="8"/>
      <c r="B274" s="11"/>
      <c r="C274" s="8"/>
      <c r="D274" s="8"/>
      <c r="E274" s="8"/>
      <c r="F274" s="8"/>
      <c r="G274" s="5"/>
      <c r="H274" s="5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</row>
    <row r="275" spans="1:715" s="2" customFormat="1" ht="50" customHeight="1" x14ac:dyDescent="0.2">
      <c r="A275" s="8"/>
      <c r="B275" s="11"/>
      <c r="C275" s="8"/>
      <c r="D275" s="8"/>
      <c r="E275" s="8"/>
      <c r="F275" s="8"/>
      <c r="G275" s="5"/>
      <c r="H275" s="5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</row>
    <row r="276" spans="1:715" s="2" customFormat="1" ht="50" customHeight="1" x14ac:dyDescent="0.2">
      <c r="A276" s="8"/>
      <c r="B276" s="11"/>
      <c r="C276" s="8"/>
      <c r="D276" s="8"/>
      <c r="E276" s="8"/>
      <c r="F276" s="8"/>
      <c r="G276" s="5"/>
      <c r="H276" s="5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</row>
    <row r="277" spans="1:715" s="2" customFormat="1" ht="50" customHeight="1" x14ac:dyDescent="0.2">
      <c r="A277" s="8"/>
      <c r="B277" s="11"/>
      <c r="C277" s="8"/>
      <c r="D277" s="8"/>
      <c r="E277" s="8"/>
      <c r="F277" s="8"/>
      <c r="G277" s="5"/>
      <c r="H277" s="5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</row>
    <row r="278" spans="1:715" s="2" customFormat="1" ht="50" customHeight="1" x14ac:dyDescent="0.2">
      <c r="A278" s="8"/>
      <c r="B278" s="11"/>
      <c r="C278" s="8"/>
      <c r="D278" s="8"/>
      <c r="E278" s="8"/>
      <c r="F278" s="8"/>
      <c r="G278" s="5"/>
      <c r="H278" s="5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</row>
    <row r="279" spans="1:715" s="2" customFormat="1" ht="50" customHeight="1" x14ac:dyDescent="0.2">
      <c r="A279" s="8"/>
      <c r="B279" s="11"/>
      <c r="C279" s="8"/>
      <c r="D279" s="8"/>
      <c r="E279" s="8"/>
      <c r="F279" s="8"/>
      <c r="G279" s="5"/>
      <c r="H279" s="5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</row>
    <row r="280" spans="1:715" s="2" customFormat="1" ht="50" customHeight="1" x14ac:dyDescent="0.2">
      <c r="A280" s="8"/>
      <c r="B280" s="11"/>
      <c r="C280" s="8"/>
      <c r="D280" s="8"/>
      <c r="E280" s="8"/>
      <c r="F280" s="8"/>
      <c r="G280" s="5"/>
      <c r="H280" s="5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</row>
    <row r="281" spans="1:715" s="2" customFormat="1" ht="50" customHeight="1" x14ac:dyDescent="0.2">
      <c r="A281" s="8"/>
      <c r="B281" s="11"/>
      <c r="C281" s="8"/>
      <c r="D281" s="8"/>
      <c r="E281" s="8"/>
      <c r="F281" s="8"/>
      <c r="G281" s="5"/>
      <c r="H281" s="5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</row>
    <row r="282" spans="1:715" s="2" customFormat="1" ht="50" customHeight="1" x14ac:dyDescent="0.2">
      <c r="A282" s="8"/>
      <c r="B282" s="11"/>
      <c r="C282" s="8"/>
      <c r="D282" s="8"/>
      <c r="E282" s="8"/>
      <c r="F282" s="8"/>
      <c r="G282" s="5"/>
      <c r="H282" s="5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</row>
    <row r="283" spans="1:715" s="2" customFormat="1" ht="50" customHeight="1" x14ac:dyDescent="0.2">
      <c r="A283" s="8"/>
      <c r="B283" s="11"/>
      <c r="C283" s="8"/>
      <c r="D283" s="8"/>
      <c r="E283" s="8"/>
      <c r="F283" s="8"/>
      <c r="G283" s="5"/>
      <c r="H283" s="5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</row>
    <row r="284" spans="1:715" s="2" customFormat="1" ht="50" customHeight="1" x14ac:dyDescent="0.2">
      <c r="A284" s="8"/>
      <c r="B284" s="11"/>
      <c r="C284" s="8"/>
      <c r="D284" s="8"/>
      <c r="E284" s="8"/>
      <c r="F284" s="8"/>
      <c r="G284" s="5"/>
      <c r="H284" s="5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</row>
    <row r="285" spans="1:715" s="2" customFormat="1" ht="50" customHeight="1" x14ac:dyDescent="0.2">
      <c r="A285" s="8"/>
      <c r="B285" s="11"/>
      <c r="C285" s="8"/>
      <c r="D285" s="8"/>
      <c r="E285" s="8"/>
      <c r="F285" s="8"/>
      <c r="G285" s="5"/>
      <c r="H285" s="5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</row>
    <row r="286" spans="1:715" s="2" customFormat="1" ht="50" customHeight="1" x14ac:dyDescent="0.2">
      <c r="A286" s="8"/>
      <c r="B286" s="11"/>
      <c r="C286" s="8"/>
      <c r="D286" s="8"/>
      <c r="E286" s="8"/>
      <c r="F286" s="8"/>
      <c r="G286" s="5"/>
      <c r="H286" s="5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</row>
    <row r="287" spans="1:715" s="2" customFormat="1" ht="50" customHeight="1" x14ac:dyDescent="0.2">
      <c r="A287" s="8"/>
      <c r="B287" s="11"/>
      <c r="C287" s="8"/>
      <c r="D287" s="8"/>
      <c r="E287" s="8"/>
      <c r="F287" s="8"/>
      <c r="G287" s="5"/>
      <c r="H287" s="5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</row>
    <row r="288" spans="1:715" s="2" customFormat="1" ht="50" customHeight="1" x14ac:dyDescent="0.2">
      <c r="A288" s="8"/>
      <c r="B288" s="11"/>
      <c r="C288" s="8"/>
      <c r="D288" s="8"/>
      <c r="E288" s="8"/>
      <c r="F288" s="8"/>
      <c r="G288" s="5"/>
      <c r="H288" s="5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</row>
    <row r="289" spans="1:715" s="2" customFormat="1" ht="50" customHeight="1" x14ac:dyDescent="0.2">
      <c r="A289" s="8"/>
      <c r="B289" s="11"/>
      <c r="C289" s="8"/>
      <c r="D289" s="8"/>
      <c r="E289" s="8"/>
      <c r="F289" s="8"/>
      <c r="G289" s="5"/>
      <c r="H289" s="5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</row>
    <row r="290" spans="1:715" s="2" customFormat="1" ht="50" customHeight="1" x14ac:dyDescent="0.2">
      <c r="A290" s="8"/>
      <c r="B290" s="11"/>
      <c r="C290" s="8"/>
      <c r="D290" s="8"/>
      <c r="E290" s="8"/>
      <c r="F290" s="8"/>
      <c r="G290" s="5"/>
      <c r="H290" s="5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</row>
    <row r="291" spans="1:715" s="2" customFormat="1" ht="50" customHeight="1" x14ac:dyDescent="0.2">
      <c r="A291" s="8"/>
      <c r="B291" s="11"/>
      <c r="C291" s="8"/>
      <c r="D291" s="8"/>
      <c r="E291" s="8"/>
      <c r="F291" s="8"/>
      <c r="G291" s="5"/>
      <c r="H291" s="5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</row>
    <row r="292" spans="1:715" s="2" customFormat="1" ht="50" customHeight="1" x14ac:dyDescent="0.2">
      <c r="A292" s="8"/>
      <c r="B292" s="11"/>
      <c r="C292" s="8"/>
      <c r="D292" s="8"/>
      <c r="E292" s="8"/>
      <c r="F292" s="8"/>
      <c r="G292" s="5"/>
      <c r="H292" s="5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</row>
    <row r="293" spans="1:715" s="2" customFormat="1" ht="50" customHeight="1" x14ac:dyDescent="0.2">
      <c r="A293" s="8"/>
      <c r="B293" s="11"/>
      <c r="C293" s="8"/>
      <c r="D293" s="8"/>
      <c r="E293" s="8"/>
      <c r="F293" s="8"/>
      <c r="G293" s="5"/>
      <c r="H293" s="5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</row>
    <row r="294" spans="1:715" s="2" customFormat="1" ht="50" customHeight="1" x14ac:dyDescent="0.2">
      <c r="A294" s="8"/>
      <c r="B294" s="11"/>
      <c r="C294" s="8"/>
      <c r="D294" s="8"/>
      <c r="E294" s="8"/>
      <c r="F294" s="8"/>
      <c r="G294" s="5"/>
      <c r="H294" s="5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</row>
    <row r="295" spans="1:715" s="2" customFormat="1" ht="50" customHeight="1" x14ac:dyDescent="0.2">
      <c r="A295" s="8"/>
      <c r="B295" s="11"/>
      <c r="C295" s="8"/>
      <c r="D295" s="8"/>
      <c r="E295" s="8"/>
      <c r="F295" s="8"/>
      <c r="G295" s="5"/>
      <c r="H295" s="5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</row>
    <row r="296" spans="1:715" s="2" customFormat="1" ht="50" customHeight="1" x14ac:dyDescent="0.2">
      <c r="A296" s="8"/>
      <c r="B296" s="11"/>
      <c r="C296" s="8"/>
      <c r="D296" s="8"/>
      <c r="E296" s="8"/>
      <c r="F296" s="8"/>
      <c r="G296" s="5"/>
      <c r="H296" s="5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</row>
    <row r="297" spans="1:715" s="2" customFormat="1" ht="50" customHeight="1" x14ac:dyDescent="0.2">
      <c r="A297" s="8"/>
      <c r="B297" s="11"/>
      <c r="C297" s="8"/>
      <c r="D297" s="8"/>
      <c r="E297" s="8"/>
      <c r="F297" s="8"/>
      <c r="G297" s="5"/>
      <c r="H297" s="5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</row>
    <row r="298" spans="1:715" s="2" customFormat="1" ht="50" customHeight="1" x14ac:dyDescent="0.2">
      <c r="A298" s="8"/>
      <c r="B298" s="11"/>
      <c r="C298" s="8"/>
      <c r="D298" s="8"/>
      <c r="E298" s="8"/>
      <c r="F298" s="8"/>
      <c r="G298" s="5"/>
      <c r="H298" s="5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</row>
    <row r="299" spans="1:715" s="2" customFormat="1" ht="50" customHeight="1" x14ac:dyDescent="0.2">
      <c r="A299" s="8"/>
      <c r="B299" s="11"/>
      <c r="C299" s="8"/>
      <c r="D299" s="8"/>
      <c r="E299" s="8"/>
      <c r="F299" s="8"/>
      <c r="G299" s="5"/>
      <c r="H299" s="5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</row>
    <row r="300" spans="1:715" s="2" customFormat="1" ht="50" customHeight="1" x14ac:dyDescent="0.2">
      <c r="A300" s="8"/>
      <c r="B300" s="11"/>
      <c r="C300" s="8"/>
      <c r="D300" s="8"/>
      <c r="E300" s="8"/>
      <c r="F300" s="8"/>
      <c r="G300" s="5"/>
      <c r="H300" s="5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</row>
    <row r="301" spans="1:715" s="2" customFormat="1" ht="50" customHeight="1" x14ac:dyDescent="0.2">
      <c r="A301" s="8"/>
      <c r="B301" s="11"/>
      <c r="C301" s="8"/>
      <c r="D301" s="8"/>
      <c r="E301" s="8"/>
      <c r="F301" s="8"/>
      <c r="G301" s="5"/>
      <c r="H301" s="5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</row>
    <row r="302" spans="1:715" s="2" customFormat="1" ht="50" customHeight="1" x14ac:dyDescent="0.2">
      <c r="A302" s="8"/>
      <c r="B302" s="11"/>
      <c r="C302" s="8"/>
      <c r="D302" s="8"/>
      <c r="E302" s="8"/>
      <c r="F302" s="8"/>
      <c r="G302" s="5"/>
      <c r="H302" s="5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</row>
    <row r="303" spans="1:715" s="2" customFormat="1" ht="50" customHeight="1" x14ac:dyDescent="0.2">
      <c r="A303" s="8"/>
      <c r="B303" s="11"/>
      <c r="C303" s="8"/>
      <c r="D303" s="8"/>
      <c r="E303" s="8"/>
      <c r="F303" s="8"/>
      <c r="G303" s="5"/>
      <c r="H303" s="5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</row>
    <row r="304" spans="1:715" s="2" customFormat="1" ht="50" customHeight="1" x14ac:dyDescent="0.2">
      <c r="A304" s="8"/>
      <c r="B304" s="11"/>
      <c r="C304" s="8"/>
      <c r="D304" s="8"/>
      <c r="E304" s="8"/>
      <c r="F304" s="8"/>
      <c r="G304" s="5"/>
      <c r="H304" s="5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</row>
    <row r="305" spans="1:715" s="2" customFormat="1" ht="50" customHeight="1" x14ac:dyDescent="0.2">
      <c r="A305" s="8"/>
      <c r="B305" s="11"/>
      <c r="C305" s="8"/>
      <c r="D305" s="8"/>
      <c r="E305" s="8"/>
      <c r="F305" s="8"/>
      <c r="G305" s="5"/>
      <c r="H305" s="5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</row>
    <row r="306" spans="1:715" s="2" customFormat="1" ht="50" customHeight="1" x14ac:dyDescent="0.2">
      <c r="A306" s="8"/>
      <c r="B306" s="11"/>
      <c r="C306" s="8"/>
      <c r="D306" s="8"/>
      <c r="E306" s="8"/>
      <c r="F306" s="8"/>
      <c r="G306" s="5"/>
      <c r="H306" s="5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</row>
    <row r="307" spans="1:715" s="2" customFormat="1" ht="50" customHeight="1" x14ac:dyDescent="0.2">
      <c r="A307" s="8"/>
      <c r="B307" s="11"/>
      <c r="C307" s="8"/>
      <c r="D307" s="8"/>
      <c r="E307" s="8"/>
      <c r="F307" s="8"/>
      <c r="G307" s="5"/>
      <c r="H307" s="5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</row>
    <row r="308" spans="1:715" s="2" customFormat="1" ht="50" customHeight="1" x14ac:dyDescent="0.2">
      <c r="A308" s="8"/>
      <c r="B308" s="11"/>
      <c r="C308" s="8"/>
      <c r="D308" s="8"/>
      <c r="E308" s="8"/>
      <c r="F308" s="8"/>
      <c r="G308" s="5"/>
      <c r="H308" s="5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</row>
    <row r="309" spans="1:715" s="2" customFormat="1" ht="50" customHeight="1" x14ac:dyDescent="0.2">
      <c r="A309" s="8"/>
      <c r="B309" s="11"/>
      <c r="C309" s="8"/>
      <c r="D309" s="8"/>
      <c r="E309" s="8"/>
      <c r="F309" s="8"/>
      <c r="G309" s="5"/>
      <c r="H309" s="5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</row>
    <row r="310" spans="1:715" s="2" customFormat="1" ht="50" customHeight="1" x14ac:dyDescent="0.2">
      <c r="A310" s="8"/>
      <c r="B310" s="11"/>
      <c r="C310" s="8"/>
      <c r="D310" s="8"/>
      <c r="E310" s="8"/>
      <c r="F310" s="8"/>
      <c r="G310" s="5"/>
      <c r="H310" s="5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</row>
    <row r="311" spans="1:715" s="2" customFormat="1" ht="50" customHeight="1" x14ac:dyDescent="0.2">
      <c r="A311" s="8"/>
      <c r="B311" s="11"/>
      <c r="C311" s="8"/>
      <c r="D311" s="8"/>
      <c r="E311" s="8"/>
      <c r="F311" s="8"/>
      <c r="G311" s="5"/>
      <c r="H311" s="5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</row>
    <row r="312" spans="1:715" s="2" customFormat="1" ht="50" customHeight="1" x14ac:dyDescent="0.2">
      <c r="A312" s="8"/>
      <c r="B312" s="11"/>
      <c r="C312" s="8"/>
      <c r="D312" s="8"/>
      <c r="E312" s="8"/>
      <c r="F312" s="8"/>
      <c r="G312" s="5"/>
      <c r="H312" s="5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</row>
    <row r="313" spans="1:715" s="2" customFormat="1" ht="50" customHeight="1" x14ac:dyDescent="0.2">
      <c r="A313" s="8"/>
      <c r="B313" s="11"/>
      <c r="C313" s="8"/>
      <c r="D313" s="8"/>
      <c r="E313" s="8"/>
      <c r="F313" s="8"/>
      <c r="G313" s="5"/>
      <c r="H313" s="5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</row>
    <row r="314" spans="1:715" s="2" customFormat="1" ht="50" customHeight="1" x14ac:dyDescent="0.2">
      <c r="A314" s="8"/>
      <c r="B314" s="11"/>
      <c r="C314" s="8"/>
      <c r="D314" s="8"/>
      <c r="E314" s="8"/>
      <c r="F314" s="8"/>
      <c r="G314" s="5"/>
      <c r="H314" s="5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</row>
    <row r="315" spans="1:715" s="2" customFormat="1" ht="50" customHeight="1" x14ac:dyDescent="0.2">
      <c r="A315" s="8"/>
      <c r="B315" s="11"/>
      <c r="C315" s="8"/>
      <c r="D315" s="8"/>
      <c r="E315" s="8"/>
      <c r="F315" s="8"/>
      <c r="G315" s="5"/>
      <c r="H315" s="5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</row>
    <row r="316" spans="1:715" s="2" customFormat="1" ht="50" customHeight="1" x14ac:dyDescent="0.2">
      <c r="A316" s="8"/>
      <c r="B316" s="11"/>
      <c r="C316" s="8"/>
      <c r="D316" s="8"/>
      <c r="E316" s="8"/>
      <c r="F316" s="8"/>
      <c r="G316" s="5"/>
      <c r="H316" s="5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</row>
    <row r="317" spans="1:715" s="2" customFormat="1" ht="50" customHeight="1" x14ac:dyDescent="0.2">
      <c r="A317" s="8"/>
      <c r="B317" s="11"/>
      <c r="C317" s="8"/>
      <c r="D317" s="8"/>
      <c r="E317" s="8"/>
      <c r="F317" s="8"/>
      <c r="G317" s="5"/>
      <c r="H317" s="5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</row>
    <row r="318" spans="1:715" s="2" customFormat="1" ht="50" customHeight="1" x14ac:dyDescent="0.2">
      <c r="A318" s="8"/>
      <c r="B318" s="11"/>
      <c r="C318" s="8"/>
      <c r="D318" s="8"/>
      <c r="E318" s="8"/>
      <c r="F318" s="8"/>
      <c r="G318" s="5"/>
      <c r="H318" s="5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</row>
    <row r="319" spans="1:715" s="2" customFormat="1" ht="50" customHeight="1" x14ac:dyDescent="0.2">
      <c r="A319" s="8"/>
      <c r="B319" s="11"/>
      <c r="C319" s="8"/>
      <c r="D319" s="8"/>
      <c r="E319" s="8"/>
      <c r="F319" s="8"/>
      <c r="G319" s="5"/>
      <c r="H319" s="5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</row>
    <row r="320" spans="1:715" s="2" customFormat="1" ht="50" customHeight="1" x14ac:dyDescent="0.2">
      <c r="A320" s="8"/>
      <c r="B320" s="11"/>
      <c r="C320" s="8"/>
      <c r="D320" s="8"/>
      <c r="E320" s="8"/>
      <c r="F320" s="8"/>
      <c r="G320" s="5"/>
      <c r="H320" s="5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</row>
    <row r="321" spans="1:715" s="2" customFormat="1" ht="50" customHeight="1" x14ac:dyDescent="0.2">
      <c r="A321" s="8"/>
      <c r="B321" s="11"/>
      <c r="C321" s="8"/>
      <c r="D321" s="8"/>
      <c r="E321" s="8"/>
      <c r="F321" s="8"/>
      <c r="G321" s="5"/>
      <c r="H321" s="5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</row>
    <row r="322" spans="1:715" s="2" customFormat="1" ht="50" customHeight="1" x14ac:dyDescent="0.2">
      <c r="A322" s="8"/>
      <c r="B322" s="11"/>
      <c r="C322" s="8"/>
      <c r="D322" s="8"/>
      <c r="E322" s="8"/>
      <c r="F322" s="8"/>
      <c r="G322" s="5"/>
      <c r="H322" s="5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</row>
    <row r="323" spans="1:715" s="2" customFormat="1" ht="50" customHeight="1" x14ac:dyDescent="0.2">
      <c r="A323" s="8"/>
      <c r="B323" s="11"/>
      <c r="C323" s="8"/>
      <c r="D323" s="8"/>
      <c r="E323" s="8"/>
      <c r="F323" s="8"/>
      <c r="G323" s="5"/>
      <c r="H323" s="5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</row>
    <row r="324" spans="1:715" s="2" customFormat="1" ht="50" customHeight="1" x14ac:dyDescent="0.2">
      <c r="A324" s="8"/>
      <c r="B324" s="11"/>
      <c r="C324" s="8"/>
      <c r="D324" s="8"/>
      <c r="E324" s="8"/>
      <c r="F324" s="8"/>
      <c r="G324" s="5"/>
      <c r="H324" s="5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</row>
    <row r="325" spans="1:715" s="2" customFormat="1" ht="50" customHeight="1" x14ac:dyDescent="0.2">
      <c r="A325" s="8"/>
      <c r="B325" s="11"/>
      <c r="C325" s="8"/>
      <c r="D325" s="8"/>
      <c r="E325" s="8"/>
      <c r="F325" s="8"/>
      <c r="G325" s="5"/>
      <c r="H325" s="5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</row>
    <row r="326" spans="1:715" s="2" customFormat="1" ht="50" customHeight="1" x14ac:dyDescent="0.2">
      <c r="A326" s="8"/>
      <c r="B326" s="11"/>
      <c r="C326" s="8"/>
      <c r="D326" s="8"/>
      <c r="E326" s="8"/>
      <c r="F326" s="8"/>
      <c r="G326" s="5"/>
      <c r="H326" s="5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</row>
    <row r="327" spans="1:715" s="2" customFormat="1" ht="50" customHeight="1" x14ac:dyDescent="0.2">
      <c r="A327" s="8"/>
      <c r="B327" s="11"/>
      <c r="C327" s="8"/>
      <c r="D327" s="8"/>
      <c r="E327" s="8"/>
      <c r="F327" s="8"/>
      <c r="G327" s="5"/>
      <c r="H327" s="5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</row>
    <row r="328" spans="1:715" s="2" customFormat="1" ht="50" customHeight="1" x14ac:dyDescent="0.2">
      <c r="A328" s="8"/>
      <c r="B328" s="11"/>
      <c r="C328" s="8"/>
      <c r="D328" s="8"/>
      <c r="E328" s="8"/>
      <c r="F328" s="8"/>
      <c r="G328" s="5"/>
      <c r="H328" s="5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</row>
    <row r="329" spans="1:715" s="2" customFormat="1" ht="50" customHeight="1" x14ac:dyDescent="0.2">
      <c r="A329" s="8"/>
      <c r="B329" s="11"/>
      <c r="C329" s="8"/>
      <c r="D329" s="8"/>
      <c r="E329" s="8"/>
      <c r="F329" s="8"/>
      <c r="G329" s="5"/>
      <c r="H329" s="5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</row>
    <row r="330" spans="1:715" s="2" customFormat="1" ht="50" customHeight="1" x14ac:dyDescent="0.2">
      <c r="A330" s="8"/>
      <c r="B330" s="11"/>
      <c r="C330" s="8"/>
      <c r="D330" s="8"/>
      <c r="E330" s="8"/>
      <c r="F330" s="8"/>
      <c r="G330" s="5"/>
      <c r="H330" s="5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</row>
    <row r="331" spans="1:715" s="2" customFormat="1" ht="50" customHeight="1" x14ac:dyDescent="0.2">
      <c r="A331" s="8"/>
      <c r="B331" s="11"/>
      <c r="C331" s="8"/>
      <c r="D331" s="8"/>
      <c r="E331" s="8"/>
      <c r="F331" s="8"/>
      <c r="G331" s="5"/>
      <c r="H331" s="5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</row>
    <row r="332" spans="1:715" s="2" customFormat="1" ht="50" customHeight="1" x14ac:dyDescent="0.2">
      <c r="A332" s="8"/>
      <c r="B332" s="11"/>
      <c r="C332" s="8"/>
      <c r="D332" s="8"/>
      <c r="E332" s="8"/>
      <c r="F332" s="8"/>
      <c r="G332" s="5"/>
      <c r="H332" s="5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</row>
    <row r="333" spans="1:715" s="2" customFormat="1" ht="50" customHeight="1" x14ac:dyDescent="0.2">
      <c r="A333" s="8"/>
      <c r="B333" s="11"/>
      <c r="C333" s="8"/>
      <c r="D333" s="8"/>
      <c r="E333" s="8"/>
      <c r="F333" s="8"/>
      <c r="G333" s="5"/>
      <c r="H333" s="5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</row>
    <row r="334" spans="1:715" s="2" customFormat="1" ht="50" customHeight="1" x14ac:dyDescent="0.2">
      <c r="A334" s="8"/>
      <c r="B334" s="11"/>
      <c r="C334" s="8"/>
      <c r="D334" s="8"/>
      <c r="E334" s="8"/>
      <c r="F334" s="8"/>
      <c r="G334" s="5"/>
      <c r="H334" s="5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</row>
    <row r="335" spans="1:715" s="2" customFormat="1" ht="50" customHeight="1" x14ac:dyDescent="0.2">
      <c r="A335" s="8"/>
      <c r="B335" s="11"/>
      <c r="C335" s="8"/>
      <c r="D335" s="8"/>
      <c r="E335" s="8"/>
      <c r="F335" s="8"/>
      <c r="G335" s="5"/>
      <c r="H335" s="5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</row>
    <row r="336" spans="1:715" s="2" customFormat="1" ht="50" customHeight="1" x14ac:dyDescent="0.2">
      <c r="A336" s="8"/>
      <c r="B336" s="11"/>
      <c r="C336" s="8"/>
      <c r="D336" s="8"/>
      <c r="E336" s="8"/>
      <c r="F336" s="8"/>
      <c r="G336" s="5"/>
      <c r="H336" s="5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</row>
    <row r="337" spans="1:715" s="2" customFormat="1" ht="50" customHeight="1" x14ac:dyDescent="0.2">
      <c r="A337" s="8"/>
      <c r="B337" s="11"/>
      <c r="C337" s="8"/>
      <c r="D337" s="8"/>
      <c r="E337" s="8"/>
      <c r="F337" s="8"/>
      <c r="G337" s="5"/>
      <c r="H337" s="5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</row>
    <row r="338" spans="1:715" s="2" customFormat="1" ht="50" customHeight="1" x14ac:dyDescent="0.2">
      <c r="A338" s="8"/>
      <c r="B338" s="11"/>
      <c r="C338" s="8"/>
      <c r="D338" s="8"/>
      <c r="E338" s="8"/>
      <c r="F338" s="8"/>
      <c r="G338" s="5"/>
      <c r="H338" s="5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</row>
    <row r="339" spans="1:715" s="2" customFormat="1" ht="50" customHeight="1" x14ac:dyDescent="0.2">
      <c r="A339" s="8"/>
      <c r="B339" s="11"/>
      <c r="C339" s="8"/>
      <c r="D339" s="8"/>
      <c r="E339" s="8"/>
      <c r="F339" s="8"/>
      <c r="G339" s="5"/>
      <c r="H339" s="5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</row>
    <row r="340" spans="1:715" s="2" customFormat="1" ht="50" customHeight="1" x14ac:dyDescent="0.2">
      <c r="A340" s="8"/>
      <c r="B340" s="11"/>
      <c r="C340" s="8"/>
      <c r="D340" s="8"/>
      <c r="E340" s="8"/>
      <c r="F340" s="8"/>
      <c r="G340" s="5"/>
      <c r="H340" s="5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</row>
    <row r="341" spans="1:715" s="2" customFormat="1" ht="50" customHeight="1" x14ac:dyDescent="0.2">
      <c r="A341" s="8"/>
      <c r="B341" s="11"/>
      <c r="C341" s="8"/>
      <c r="D341" s="8"/>
      <c r="E341" s="8"/>
      <c r="F341" s="8"/>
      <c r="G341" s="5"/>
      <c r="H341" s="5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</row>
    <row r="342" spans="1:715" s="2" customFormat="1" ht="50" customHeight="1" x14ac:dyDescent="0.2">
      <c r="A342" s="8"/>
      <c r="B342" s="11"/>
      <c r="C342" s="8"/>
      <c r="D342" s="8"/>
      <c r="E342" s="8"/>
      <c r="F342" s="8"/>
      <c r="G342" s="5"/>
      <c r="H342" s="5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</row>
    <row r="343" spans="1:715" s="2" customFormat="1" ht="50" customHeight="1" x14ac:dyDescent="0.2">
      <c r="A343" s="8"/>
      <c r="B343" s="11"/>
      <c r="C343" s="8"/>
      <c r="D343" s="8"/>
      <c r="E343" s="8"/>
      <c r="F343" s="8"/>
      <c r="G343" s="5"/>
      <c r="H343" s="5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</row>
    <row r="344" spans="1:715" s="2" customFormat="1" ht="50" customHeight="1" x14ac:dyDescent="0.2">
      <c r="A344" s="8"/>
      <c r="B344" s="11"/>
      <c r="C344" s="8"/>
      <c r="D344" s="8"/>
      <c r="E344" s="8"/>
      <c r="F344" s="8"/>
      <c r="G344" s="5"/>
      <c r="H344" s="5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</row>
    <row r="345" spans="1:715" s="2" customFormat="1" ht="50" customHeight="1" x14ac:dyDescent="0.2">
      <c r="A345" s="8"/>
      <c r="B345" s="11"/>
      <c r="C345" s="8"/>
      <c r="D345" s="8"/>
      <c r="E345" s="8"/>
      <c r="F345" s="8"/>
      <c r="G345" s="5"/>
      <c r="H345" s="5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</row>
    <row r="346" spans="1:715" s="2" customFormat="1" ht="50" customHeight="1" x14ac:dyDescent="0.2">
      <c r="A346" s="8"/>
      <c r="B346" s="11"/>
      <c r="C346" s="8"/>
      <c r="D346" s="8"/>
      <c r="E346" s="8"/>
      <c r="F346" s="8"/>
      <c r="G346" s="5"/>
      <c r="H346" s="5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</row>
    <row r="347" spans="1:715" s="2" customFormat="1" ht="50" customHeight="1" x14ac:dyDescent="0.2">
      <c r="A347" s="8"/>
      <c r="B347" s="11"/>
      <c r="C347" s="8"/>
      <c r="D347" s="8"/>
      <c r="E347" s="8"/>
      <c r="F347" s="8"/>
      <c r="G347" s="5"/>
      <c r="H347" s="5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</row>
    <row r="348" spans="1:715" s="2" customFormat="1" ht="50" customHeight="1" x14ac:dyDescent="0.2">
      <c r="A348" s="8"/>
      <c r="B348" s="11"/>
      <c r="C348" s="8"/>
      <c r="D348" s="8"/>
      <c r="E348" s="8"/>
      <c r="F348" s="8"/>
      <c r="G348" s="5"/>
      <c r="H348" s="5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</row>
    <row r="349" spans="1:715" s="2" customFormat="1" ht="50" customHeight="1" x14ac:dyDescent="0.2">
      <c r="A349" s="8"/>
      <c r="B349" s="11"/>
      <c r="C349" s="8"/>
      <c r="D349" s="8"/>
      <c r="E349" s="8"/>
      <c r="F349" s="8"/>
      <c r="G349" s="5"/>
      <c r="H349" s="5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</row>
    <row r="350" spans="1:715" s="2" customFormat="1" ht="50" customHeight="1" x14ac:dyDescent="0.2">
      <c r="A350" s="8"/>
      <c r="B350" s="11"/>
      <c r="C350" s="8"/>
      <c r="D350" s="8"/>
      <c r="E350" s="8"/>
      <c r="F350" s="8"/>
      <c r="G350" s="5"/>
      <c r="H350" s="5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</row>
    <row r="351" spans="1:715" s="2" customFormat="1" ht="50" customHeight="1" x14ac:dyDescent="0.2">
      <c r="A351" s="8"/>
      <c r="B351" s="11"/>
      <c r="C351" s="8"/>
      <c r="D351" s="8"/>
      <c r="E351" s="8"/>
      <c r="F351" s="8"/>
      <c r="G351" s="5"/>
      <c r="H351" s="5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</row>
    <row r="352" spans="1:715" s="2" customFormat="1" ht="50" customHeight="1" x14ac:dyDescent="0.2">
      <c r="A352" s="8"/>
      <c r="B352" s="11"/>
      <c r="C352" s="8"/>
      <c r="D352" s="8"/>
      <c r="E352" s="8"/>
      <c r="F352" s="8"/>
      <c r="G352" s="5"/>
      <c r="H352" s="5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</row>
    <row r="353" spans="1:715" s="2" customFormat="1" ht="50" customHeight="1" x14ac:dyDescent="0.2">
      <c r="A353" s="8"/>
      <c r="B353" s="11"/>
      <c r="C353" s="8"/>
      <c r="D353" s="8"/>
      <c r="E353" s="8"/>
      <c r="F353" s="8"/>
      <c r="G353" s="5"/>
      <c r="H353" s="5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</row>
    <row r="354" spans="1:715" s="2" customFormat="1" ht="50" customHeight="1" x14ac:dyDescent="0.2">
      <c r="A354" s="8"/>
      <c r="B354" s="11"/>
      <c r="C354" s="8"/>
      <c r="D354" s="8"/>
      <c r="E354" s="8"/>
      <c r="F354" s="8"/>
      <c r="G354" s="5"/>
      <c r="H354" s="5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</row>
    <row r="355" spans="1:715" s="2" customFormat="1" ht="50" customHeight="1" x14ac:dyDescent="0.2">
      <c r="A355" s="8"/>
      <c r="B355" s="11"/>
      <c r="C355" s="8"/>
      <c r="D355" s="8"/>
      <c r="E355" s="8"/>
      <c r="F355" s="8"/>
      <c r="G355" s="5"/>
      <c r="H355" s="5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</row>
    <row r="356" spans="1:715" s="2" customFormat="1" ht="50" customHeight="1" x14ac:dyDescent="0.2">
      <c r="A356" s="8"/>
      <c r="B356" s="11"/>
      <c r="C356" s="8"/>
      <c r="D356" s="8"/>
      <c r="E356" s="8"/>
      <c r="F356" s="8"/>
      <c r="G356" s="5"/>
      <c r="H356" s="5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</row>
    <row r="357" spans="1:715" s="2" customFormat="1" ht="50" customHeight="1" x14ac:dyDescent="0.2">
      <c r="A357" s="8"/>
      <c r="B357" s="11"/>
      <c r="C357" s="8"/>
      <c r="D357" s="8"/>
      <c r="E357" s="8"/>
      <c r="F357" s="8"/>
      <c r="G357" s="5"/>
      <c r="H357" s="5"/>
    </row>
    <row r="358" spans="1:715" s="2" customFormat="1" ht="50" customHeight="1" x14ac:dyDescent="0.2">
      <c r="A358" s="8"/>
      <c r="B358" s="11"/>
      <c r="C358" s="8"/>
      <c r="D358" s="8"/>
      <c r="E358" s="8"/>
      <c r="F358" s="8"/>
      <c r="G358" s="5"/>
      <c r="H358" s="5"/>
    </row>
    <row r="359" spans="1:715" s="2" customFormat="1" ht="50" customHeight="1" x14ac:dyDescent="0.2">
      <c r="A359" s="8"/>
      <c r="B359" s="11"/>
      <c r="C359" s="8"/>
      <c r="D359" s="8"/>
      <c r="E359" s="8"/>
      <c r="F359" s="8"/>
      <c r="G359" s="5"/>
      <c r="H359" s="5"/>
    </row>
    <row r="360" spans="1:715" s="2" customFormat="1" ht="50" customHeight="1" x14ac:dyDescent="0.2">
      <c r="A360" s="8"/>
      <c r="B360" s="11"/>
      <c r="C360" s="8"/>
      <c r="D360" s="8"/>
      <c r="E360" s="8"/>
      <c r="F360" s="8"/>
      <c r="G360" s="5"/>
      <c r="H360" s="5"/>
    </row>
    <row r="361" spans="1:715" s="2" customFormat="1" ht="50" customHeight="1" x14ac:dyDescent="0.2">
      <c r="A361" s="8"/>
      <c r="B361" s="11"/>
      <c r="C361" s="8"/>
      <c r="D361" s="8"/>
      <c r="E361" s="8"/>
      <c r="F361" s="8"/>
      <c r="G361" s="5"/>
      <c r="H361" s="5"/>
    </row>
    <row r="362" spans="1:715" s="2" customFormat="1" ht="50" customHeight="1" x14ac:dyDescent="0.2">
      <c r="A362" s="8"/>
      <c r="B362" s="11"/>
      <c r="C362" s="8"/>
      <c r="D362" s="8"/>
      <c r="E362" s="8"/>
      <c r="F362" s="8"/>
      <c r="G362" s="5"/>
      <c r="H362" s="5"/>
    </row>
    <row r="363" spans="1:715" s="2" customFormat="1" ht="50" customHeight="1" x14ac:dyDescent="0.2">
      <c r="A363" s="8"/>
      <c r="B363" s="11"/>
      <c r="C363" s="8"/>
      <c r="D363" s="8"/>
      <c r="E363" s="8"/>
      <c r="F363" s="8"/>
      <c r="G363" s="5"/>
      <c r="H363" s="5"/>
    </row>
    <row r="364" spans="1:715" s="2" customFormat="1" ht="50" customHeight="1" x14ac:dyDescent="0.2">
      <c r="A364" s="8"/>
      <c r="B364" s="11"/>
      <c r="C364" s="8"/>
      <c r="D364" s="8"/>
      <c r="E364" s="8"/>
      <c r="F364" s="8"/>
      <c r="G364" s="5"/>
      <c r="H364" s="5"/>
    </row>
    <row r="365" spans="1:715" s="2" customFormat="1" ht="50" customHeight="1" x14ac:dyDescent="0.2">
      <c r="A365" s="8"/>
      <c r="B365" s="11"/>
      <c r="C365" s="8"/>
      <c r="D365" s="8"/>
      <c r="E365" s="8"/>
      <c r="F365" s="8"/>
      <c r="G365" s="5"/>
      <c r="H365" s="5"/>
    </row>
    <row r="366" spans="1:715" s="2" customFormat="1" ht="50" customHeight="1" x14ac:dyDescent="0.2">
      <c r="A366" s="8"/>
      <c r="B366" s="11"/>
      <c r="C366" s="8"/>
      <c r="D366" s="8"/>
      <c r="E366" s="8"/>
      <c r="F366" s="8"/>
      <c r="G366" s="5"/>
      <c r="H366" s="5"/>
    </row>
    <row r="367" spans="1:715" s="2" customFormat="1" ht="50" customHeight="1" x14ac:dyDescent="0.2">
      <c r="A367" s="8"/>
      <c r="B367" s="11"/>
      <c r="C367" s="8"/>
      <c r="D367" s="8"/>
      <c r="E367" s="8"/>
      <c r="F367" s="8"/>
      <c r="G367" s="5"/>
      <c r="H367" s="5"/>
    </row>
    <row r="368" spans="1:715" s="2" customFormat="1" ht="50" customHeight="1" x14ac:dyDescent="0.2">
      <c r="A368" s="8"/>
      <c r="B368" s="11"/>
      <c r="C368" s="8"/>
      <c r="D368" s="8"/>
      <c r="E368" s="8"/>
      <c r="F368" s="8"/>
      <c r="G368" s="5"/>
      <c r="H368" s="5"/>
    </row>
    <row r="369" spans="1:8" s="2" customFormat="1" ht="50" customHeight="1" x14ac:dyDescent="0.2">
      <c r="A369" s="8"/>
      <c r="B369" s="11"/>
      <c r="C369" s="8"/>
      <c r="D369" s="8"/>
      <c r="E369" s="8"/>
      <c r="F369" s="8"/>
      <c r="G369" s="5"/>
      <c r="H369" s="5"/>
    </row>
    <row r="370" spans="1:8" s="2" customFormat="1" ht="50" customHeight="1" x14ac:dyDescent="0.2">
      <c r="A370" s="8"/>
      <c r="B370" s="11"/>
      <c r="C370" s="8"/>
      <c r="D370" s="8"/>
      <c r="E370" s="8"/>
      <c r="F370" s="8"/>
      <c r="G370" s="5"/>
      <c r="H370" s="5"/>
    </row>
    <row r="371" spans="1:8" s="2" customFormat="1" ht="50" customHeight="1" x14ac:dyDescent="0.2">
      <c r="A371" s="8"/>
      <c r="B371" s="11"/>
      <c r="C371" s="8"/>
      <c r="D371" s="8"/>
      <c r="E371" s="8"/>
      <c r="F371" s="8"/>
      <c r="G371" s="5"/>
      <c r="H371" s="5"/>
    </row>
    <row r="372" spans="1:8" s="2" customFormat="1" ht="50" customHeight="1" x14ac:dyDescent="0.2">
      <c r="A372" s="8"/>
      <c r="B372" s="11"/>
      <c r="C372" s="8"/>
      <c r="D372" s="8"/>
      <c r="E372" s="8"/>
      <c r="F372" s="8"/>
      <c r="G372" s="5"/>
      <c r="H372" s="5"/>
    </row>
    <row r="373" spans="1:8" s="2" customFormat="1" ht="50" customHeight="1" x14ac:dyDescent="0.2">
      <c r="A373" s="8"/>
      <c r="B373" s="11"/>
      <c r="C373" s="8"/>
      <c r="D373" s="8"/>
      <c r="E373" s="8"/>
      <c r="F373" s="8"/>
      <c r="G373" s="5"/>
      <c r="H373" s="5"/>
    </row>
    <row r="374" spans="1:8" s="2" customFormat="1" ht="50" customHeight="1" x14ac:dyDescent="0.2">
      <c r="A374" s="8"/>
      <c r="B374" s="11"/>
      <c r="C374" s="8"/>
      <c r="D374" s="8"/>
      <c r="E374" s="8"/>
      <c r="F374" s="8"/>
      <c r="G374" s="5"/>
      <c r="H374" s="5"/>
    </row>
    <row r="375" spans="1:8" s="2" customFormat="1" ht="50" customHeight="1" x14ac:dyDescent="0.2">
      <c r="A375" s="8"/>
      <c r="B375" s="11"/>
      <c r="C375" s="8"/>
      <c r="D375" s="8"/>
      <c r="E375" s="8"/>
      <c r="F375" s="8"/>
      <c r="G375" s="5"/>
      <c r="H375" s="5"/>
    </row>
    <row r="376" spans="1:8" s="2" customFormat="1" ht="50" customHeight="1" x14ac:dyDescent="0.2">
      <c r="A376" s="8"/>
      <c r="B376" s="11"/>
      <c r="C376" s="8"/>
      <c r="D376" s="8"/>
      <c r="E376" s="8"/>
      <c r="F376" s="8"/>
      <c r="G376" s="5"/>
      <c r="H376" s="5"/>
    </row>
    <row r="377" spans="1:8" s="2" customFormat="1" ht="50" customHeight="1" x14ac:dyDescent="0.2">
      <c r="A377" s="8"/>
      <c r="B377" s="11"/>
      <c r="C377" s="8"/>
      <c r="D377" s="8"/>
      <c r="E377" s="8"/>
      <c r="F377" s="8"/>
      <c r="G377" s="5"/>
      <c r="H377" s="5"/>
    </row>
    <row r="378" spans="1:8" s="2" customFormat="1" ht="50" customHeight="1" x14ac:dyDescent="0.2">
      <c r="A378" s="8"/>
      <c r="B378" s="11"/>
      <c r="C378" s="8"/>
      <c r="D378" s="8"/>
      <c r="E378" s="8"/>
      <c r="F378" s="8"/>
      <c r="G378" s="5"/>
      <c r="H378" s="5"/>
    </row>
    <row r="379" spans="1:8" s="2" customFormat="1" ht="50" customHeight="1" x14ac:dyDescent="0.2">
      <c r="A379" s="8"/>
      <c r="B379" s="11"/>
      <c r="C379" s="8"/>
      <c r="D379" s="8"/>
      <c r="E379" s="8"/>
      <c r="F379" s="8"/>
      <c r="G379" s="5"/>
      <c r="H379" s="5"/>
    </row>
    <row r="380" spans="1:8" s="2" customFormat="1" ht="50" customHeight="1" x14ac:dyDescent="0.2">
      <c r="A380" s="8"/>
      <c r="B380" s="11"/>
      <c r="C380" s="8"/>
      <c r="D380" s="8"/>
      <c r="E380" s="8"/>
      <c r="F380" s="8"/>
      <c r="G380" s="5"/>
      <c r="H380" s="5"/>
    </row>
    <row r="381" spans="1:8" s="2" customFormat="1" ht="50" customHeight="1" x14ac:dyDescent="0.2">
      <c r="A381" s="8"/>
      <c r="B381" s="11"/>
      <c r="C381" s="8"/>
      <c r="D381" s="8"/>
      <c r="E381" s="8"/>
      <c r="F381" s="8"/>
      <c r="G381" s="5"/>
      <c r="H381" s="5"/>
    </row>
    <row r="382" spans="1:8" s="2" customFormat="1" ht="50" customHeight="1" x14ac:dyDescent="0.2">
      <c r="A382" s="8"/>
      <c r="B382" s="11"/>
      <c r="C382" s="8"/>
      <c r="D382" s="8"/>
      <c r="E382" s="8"/>
      <c r="F382" s="8"/>
      <c r="G382" s="5"/>
      <c r="H382" s="5"/>
    </row>
    <row r="383" spans="1:8" s="2" customFormat="1" ht="50" customHeight="1" x14ac:dyDescent="0.2">
      <c r="A383" s="8"/>
      <c r="B383" s="11"/>
      <c r="C383" s="8"/>
      <c r="D383" s="8"/>
      <c r="E383" s="8"/>
      <c r="F383" s="8"/>
      <c r="G383" s="5"/>
      <c r="H383" s="5"/>
    </row>
    <row r="384" spans="1:8" s="2" customFormat="1" ht="50" customHeight="1" x14ac:dyDescent="0.2">
      <c r="A384" s="8"/>
      <c r="B384" s="11"/>
      <c r="C384" s="8"/>
      <c r="D384" s="8"/>
      <c r="E384" s="8"/>
      <c r="F384" s="8"/>
      <c r="G384" s="5"/>
      <c r="H384" s="5"/>
    </row>
    <row r="385" spans="1:8" s="2" customFormat="1" ht="50" customHeight="1" x14ac:dyDescent="0.2">
      <c r="A385" s="8"/>
      <c r="B385" s="11"/>
      <c r="C385" s="8"/>
      <c r="D385" s="8"/>
      <c r="E385" s="8"/>
      <c r="F385" s="8"/>
      <c r="G385" s="5"/>
      <c r="H385" s="5"/>
    </row>
    <row r="386" spans="1:8" s="2" customFormat="1" ht="50" customHeight="1" x14ac:dyDescent="0.2">
      <c r="A386" s="8"/>
      <c r="B386" s="11"/>
      <c r="C386" s="8"/>
      <c r="D386" s="8"/>
      <c r="E386" s="8"/>
      <c r="F386" s="8"/>
      <c r="G386" s="5"/>
      <c r="H386" s="5"/>
    </row>
    <row r="387" spans="1:8" s="2" customFormat="1" ht="50" customHeight="1" x14ac:dyDescent="0.2">
      <c r="A387" s="8"/>
      <c r="B387" s="11"/>
      <c r="C387" s="8"/>
      <c r="D387" s="8"/>
      <c r="E387" s="8"/>
      <c r="F387" s="8"/>
      <c r="G387" s="5"/>
      <c r="H387" s="5"/>
    </row>
    <row r="388" spans="1:8" s="2" customFormat="1" ht="50" customHeight="1" x14ac:dyDescent="0.2">
      <c r="A388" s="8"/>
      <c r="B388" s="11"/>
      <c r="C388" s="8"/>
      <c r="D388" s="8"/>
      <c r="E388" s="8"/>
      <c r="F388" s="8"/>
      <c r="G388" s="5"/>
      <c r="H388" s="5"/>
    </row>
    <row r="389" spans="1:8" s="2" customFormat="1" ht="50" customHeight="1" x14ac:dyDescent="0.2">
      <c r="A389" s="8"/>
      <c r="B389" s="11"/>
      <c r="C389" s="8"/>
      <c r="D389" s="8"/>
      <c r="E389" s="8"/>
      <c r="F389" s="8"/>
      <c r="G389" s="5"/>
      <c r="H389" s="5"/>
    </row>
    <row r="390" spans="1:8" s="2" customFormat="1" ht="50" customHeight="1" x14ac:dyDescent="0.2">
      <c r="A390" s="8"/>
      <c r="B390" s="11"/>
      <c r="C390" s="8"/>
      <c r="D390" s="8"/>
      <c r="E390" s="8"/>
      <c r="F390" s="8"/>
      <c r="G390" s="5"/>
      <c r="H390" s="5"/>
    </row>
    <row r="391" spans="1:8" s="2" customFormat="1" ht="50" customHeight="1" x14ac:dyDescent="0.2">
      <c r="A391" s="8"/>
      <c r="B391" s="11"/>
      <c r="C391" s="8"/>
      <c r="D391" s="8"/>
      <c r="E391" s="8"/>
      <c r="F391" s="8"/>
      <c r="G391" s="5"/>
      <c r="H391" s="5"/>
    </row>
    <row r="392" spans="1:8" s="2" customFormat="1" ht="50" customHeight="1" x14ac:dyDescent="0.2">
      <c r="A392" s="8"/>
      <c r="B392" s="11"/>
      <c r="C392" s="8"/>
      <c r="D392" s="8"/>
      <c r="E392" s="8"/>
      <c r="F392" s="8"/>
      <c r="G392" s="5"/>
      <c r="H392" s="5"/>
    </row>
    <row r="393" spans="1:8" s="2" customFormat="1" ht="50" customHeight="1" x14ac:dyDescent="0.2">
      <c r="A393" s="8"/>
      <c r="B393" s="11"/>
      <c r="C393" s="8"/>
      <c r="D393" s="8"/>
      <c r="E393" s="8"/>
      <c r="F393" s="8"/>
      <c r="G393" s="5"/>
      <c r="H393" s="5"/>
    </row>
    <row r="394" spans="1:8" s="2" customFormat="1" ht="50" customHeight="1" x14ac:dyDescent="0.2">
      <c r="A394" s="8"/>
      <c r="B394" s="11"/>
      <c r="C394" s="8"/>
      <c r="D394" s="8"/>
      <c r="E394" s="8"/>
      <c r="F394" s="8"/>
      <c r="G394" s="5"/>
      <c r="H394" s="5"/>
    </row>
    <row r="395" spans="1:8" s="2" customFormat="1" ht="50" customHeight="1" x14ac:dyDescent="0.2">
      <c r="A395" s="8"/>
      <c r="B395" s="11"/>
      <c r="C395" s="8"/>
      <c r="D395" s="8"/>
      <c r="E395" s="8"/>
      <c r="F395" s="8"/>
      <c r="G395" s="5"/>
      <c r="H395" s="5"/>
    </row>
    <row r="396" spans="1:8" s="2" customFormat="1" ht="50" customHeight="1" x14ac:dyDescent="0.2">
      <c r="A396" s="8"/>
      <c r="B396" s="11"/>
      <c r="C396" s="8"/>
      <c r="D396" s="8"/>
      <c r="E396" s="8"/>
      <c r="F396" s="8"/>
      <c r="G396" s="5"/>
      <c r="H396" s="5"/>
    </row>
    <row r="397" spans="1:8" s="2" customFormat="1" ht="50" customHeight="1" x14ac:dyDescent="0.2">
      <c r="A397" s="8"/>
      <c r="B397" s="11"/>
      <c r="C397" s="8"/>
      <c r="D397" s="8"/>
      <c r="E397" s="8"/>
      <c r="F397" s="8"/>
      <c r="G397" s="5"/>
      <c r="H397" s="5"/>
    </row>
    <row r="398" spans="1:8" s="2" customFormat="1" ht="50" customHeight="1" x14ac:dyDescent="0.2">
      <c r="A398" s="8"/>
      <c r="B398" s="11"/>
      <c r="C398" s="8"/>
      <c r="D398" s="8"/>
      <c r="E398" s="8"/>
      <c r="F398" s="8"/>
      <c r="G398" s="5"/>
      <c r="H398" s="5"/>
    </row>
    <row r="399" spans="1:8" s="2" customFormat="1" ht="50" customHeight="1" x14ac:dyDescent="0.2">
      <c r="A399" s="8"/>
      <c r="B399" s="11"/>
      <c r="C399" s="8"/>
      <c r="D399" s="8"/>
      <c r="E399" s="8"/>
      <c r="F399" s="8"/>
      <c r="G399" s="5"/>
      <c r="H399" s="5"/>
    </row>
    <row r="400" spans="1:8" s="2" customFormat="1" ht="50" customHeight="1" x14ac:dyDescent="0.2">
      <c r="A400" s="8"/>
      <c r="B400" s="11"/>
      <c r="C400" s="8"/>
      <c r="D400" s="8"/>
      <c r="E400" s="8"/>
      <c r="F400" s="8"/>
      <c r="G400" s="5"/>
      <c r="H400" s="5"/>
    </row>
    <row r="401" spans="1:8" s="2" customFormat="1" ht="50" customHeight="1" x14ac:dyDescent="0.2">
      <c r="A401" s="8"/>
      <c r="B401" s="11"/>
      <c r="C401" s="8"/>
      <c r="D401" s="8"/>
      <c r="E401" s="8"/>
      <c r="F401" s="8"/>
      <c r="G401" s="5"/>
      <c r="H401" s="5"/>
    </row>
    <row r="402" spans="1:8" s="2" customFormat="1" ht="50" customHeight="1" x14ac:dyDescent="0.2">
      <c r="A402" s="8"/>
      <c r="B402" s="11"/>
      <c r="C402" s="8"/>
      <c r="D402" s="8"/>
      <c r="E402" s="8"/>
      <c r="F402" s="8"/>
      <c r="G402" s="5"/>
      <c r="H402" s="5"/>
    </row>
    <row r="403" spans="1:8" s="2" customFormat="1" ht="50" customHeight="1" x14ac:dyDescent="0.2">
      <c r="A403" s="8"/>
      <c r="B403" s="11"/>
      <c r="C403" s="8"/>
      <c r="D403" s="8"/>
      <c r="E403" s="8"/>
      <c r="F403" s="8"/>
      <c r="G403" s="5"/>
      <c r="H403" s="5"/>
    </row>
    <row r="404" spans="1:8" s="2" customFormat="1" ht="50" customHeight="1" x14ac:dyDescent="0.2">
      <c r="A404" s="8"/>
      <c r="B404" s="11"/>
      <c r="C404" s="8"/>
      <c r="D404" s="8"/>
      <c r="E404" s="8"/>
      <c r="F404" s="8"/>
      <c r="G404" s="5"/>
      <c r="H404" s="5"/>
    </row>
    <row r="405" spans="1:8" s="2" customFormat="1" ht="50" customHeight="1" x14ac:dyDescent="0.2">
      <c r="A405" s="8"/>
      <c r="B405" s="11"/>
      <c r="C405" s="8"/>
      <c r="D405" s="8"/>
      <c r="E405" s="8"/>
      <c r="F405" s="8"/>
      <c r="G405" s="5"/>
      <c r="H405" s="5"/>
    </row>
    <row r="406" spans="1:8" s="2" customFormat="1" ht="50" customHeight="1" x14ac:dyDescent="0.2">
      <c r="A406" s="8"/>
      <c r="B406" s="11"/>
      <c r="C406" s="8"/>
      <c r="D406" s="8"/>
      <c r="E406" s="8"/>
      <c r="F406" s="8"/>
      <c r="G406" s="5"/>
      <c r="H406" s="5"/>
    </row>
    <row r="407" spans="1:8" s="2" customFormat="1" ht="50" customHeight="1" x14ac:dyDescent="0.2">
      <c r="A407" s="8"/>
      <c r="B407" s="11"/>
      <c r="C407" s="8"/>
      <c r="D407" s="8"/>
      <c r="E407" s="8"/>
      <c r="F407" s="8"/>
      <c r="G407" s="5"/>
      <c r="H407" s="5"/>
    </row>
    <row r="408" spans="1:8" s="2" customFormat="1" ht="50" customHeight="1" x14ac:dyDescent="0.2">
      <c r="A408" s="8"/>
      <c r="B408" s="11"/>
      <c r="C408" s="8"/>
      <c r="D408" s="8"/>
      <c r="E408" s="8"/>
      <c r="F408" s="8"/>
      <c r="G408" s="5"/>
      <c r="H408" s="5"/>
    </row>
    <row r="409" spans="1:8" s="2" customFormat="1" ht="50" customHeight="1" x14ac:dyDescent="0.2">
      <c r="A409" s="8"/>
      <c r="B409" s="11"/>
      <c r="C409" s="8"/>
      <c r="D409" s="8"/>
      <c r="E409" s="8"/>
      <c r="F409" s="8"/>
      <c r="G409" s="5"/>
      <c r="H409" s="5"/>
    </row>
    <row r="410" spans="1:8" s="2" customFormat="1" ht="50" customHeight="1" x14ac:dyDescent="0.2">
      <c r="A410" s="8"/>
      <c r="B410" s="11"/>
      <c r="C410" s="8"/>
      <c r="D410" s="8"/>
      <c r="E410" s="8"/>
      <c r="F410" s="8"/>
      <c r="G410" s="5"/>
      <c r="H410" s="5"/>
    </row>
    <row r="411" spans="1:8" s="2" customFormat="1" ht="50" customHeight="1" x14ac:dyDescent="0.2">
      <c r="A411" s="8"/>
      <c r="B411" s="11"/>
      <c r="C411" s="8"/>
      <c r="D411" s="8"/>
      <c r="E411" s="8"/>
      <c r="F411" s="8"/>
      <c r="G411" s="5"/>
      <c r="H411" s="5"/>
    </row>
    <row r="412" spans="1:8" s="2" customFormat="1" ht="50" customHeight="1" x14ac:dyDescent="0.2">
      <c r="A412" s="8"/>
      <c r="B412" s="11"/>
      <c r="C412" s="8"/>
      <c r="D412" s="8"/>
      <c r="E412" s="8"/>
      <c r="F412" s="8"/>
      <c r="G412" s="5"/>
      <c r="H412" s="5"/>
    </row>
    <row r="413" spans="1:8" s="2" customFormat="1" ht="50" customHeight="1" x14ac:dyDescent="0.2">
      <c r="A413" s="8"/>
      <c r="B413" s="11"/>
      <c r="C413" s="8"/>
      <c r="D413" s="8"/>
      <c r="E413" s="8"/>
      <c r="F413" s="8"/>
      <c r="G413" s="5"/>
      <c r="H413" s="5"/>
    </row>
    <row r="414" spans="1:8" s="2" customFormat="1" ht="50" customHeight="1" x14ac:dyDescent="0.2">
      <c r="A414" s="8"/>
      <c r="B414" s="11"/>
      <c r="C414" s="8"/>
      <c r="D414" s="8"/>
      <c r="E414" s="8"/>
      <c r="F414" s="8"/>
      <c r="G414" s="5"/>
      <c r="H414" s="5"/>
    </row>
    <row r="415" spans="1:8" s="2" customFormat="1" ht="50" customHeight="1" x14ac:dyDescent="0.2">
      <c r="A415" s="8"/>
      <c r="B415" s="11"/>
      <c r="C415" s="8"/>
      <c r="D415" s="8"/>
      <c r="E415" s="8"/>
      <c r="F415" s="8"/>
      <c r="G415" s="5"/>
      <c r="H415" s="5"/>
    </row>
    <row r="416" spans="1:8" s="2" customFormat="1" ht="50" customHeight="1" x14ac:dyDescent="0.2">
      <c r="A416" s="8"/>
      <c r="B416" s="11"/>
      <c r="C416" s="8"/>
      <c r="D416" s="8"/>
      <c r="E416" s="8"/>
      <c r="F416" s="8"/>
      <c r="G416" s="5"/>
      <c r="H416" s="5"/>
    </row>
    <row r="417" spans="1:8" s="2" customFormat="1" ht="50" customHeight="1" x14ac:dyDescent="0.2">
      <c r="A417" s="8"/>
      <c r="B417" s="11"/>
      <c r="C417" s="8"/>
      <c r="D417" s="8"/>
      <c r="E417" s="8"/>
      <c r="F417" s="8"/>
      <c r="G417" s="5"/>
      <c r="H417" s="5"/>
    </row>
    <row r="418" spans="1:8" s="2" customFormat="1" ht="50" customHeight="1" x14ac:dyDescent="0.2">
      <c r="A418" s="8"/>
      <c r="B418" s="11"/>
      <c r="C418" s="8"/>
      <c r="D418" s="8"/>
      <c r="E418" s="8"/>
      <c r="F418" s="8"/>
      <c r="G418" s="5"/>
      <c r="H418" s="5"/>
    </row>
    <row r="419" spans="1:8" s="2" customFormat="1" ht="50" customHeight="1" x14ac:dyDescent="0.2">
      <c r="A419" s="8"/>
      <c r="B419" s="11"/>
      <c r="C419" s="8"/>
      <c r="D419" s="8"/>
      <c r="E419" s="8"/>
      <c r="F419" s="8"/>
      <c r="G419" s="5"/>
      <c r="H419" s="5"/>
    </row>
    <row r="420" spans="1:8" s="2" customFormat="1" ht="50" customHeight="1" x14ac:dyDescent="0.2">
      <c r="A420" s="8"/>
      <c r="B420" s="11"/>
      <c r="C420" s="8"/>
      <c r="D420" s="8"/>
      <c r="E420" s="8"/>
      <c r="F420" s="8"/>
      <c r="G420" s="5"/>
      <c r="H420" s="5"/>
    </row>
  </sheetData>
  <mergeCells count="100">
    <mergeCell ref="G11:J11"/>
    <mergeCell ref="G12:H12"/>
    <mergeCell ref="I12:J12"/>
    <mergeCell ref="K12:L12"/>
    <mergeCell ref="M12:N12"/>
    <mergeCell ref="O12:P12"/>
    <mergeCell ref="G13:H13"/>
    <mergeCell ref="I13:J13"/>
    <mergeCell ref="K13:L13"/>
    <mergeCell ref="M13:N13"/>
    <mergeCell ref="O13:P13"/>
    <mergeCell ref="V11:W11"/>
    <mergeCell ref="W12:X12"/>
    <mergeCell ref="W13:X13"/>
    <mergeCell ref="V15:W15"/>
    <mergeCell ref="W16:X16"/>
    <mergeCell ref="W17:X17"/>
    <mergeCell ref="V19:W19"/>
    <mergeCell ref="W20:X20"/>
    <mergeCell ref="W21:X21"/>
    <mergeCell ref="A1:W1"/>
    <mergeCell ref="D2:E2"/>
    <mergeCell ref="D3:E3"/>
    <mergeCell ref="K3:L3"/>
    <mergeCell ref="M3:N3"/>
    <mergeCell ref="G3:H3"/>
    <mergeCell ref="G2:J2"/>
    <mergeCell ref="I3:J3"/>
    <mergeCell ref="I4:J4"/>
    <mergeCell ref="G4:H4"/>
    <mergeCell ref="V2:Y2"/>
    <mergeCell ref="V3:W3"/>
    <mergeCell ref="W4:X4"/>
    <mergeCell ref="AE4:AF4"/>
    <mergeCell ref="AE5:AF5"/>
    <mergeCell ref="AA8:AB8"/>
    <mergeCell ref="AE8:AF8"/>
    <mergeCell ref="AE9:AF9"/>
    <mergeCell ref="D4:E4"/>
    <mergeCell ref="D5:E5"/>
    <mergeCell ref="G5:H5"/>
    <mergeCell ref="D8:E8"/>
    <mergeCell ref="D6:E6"/>
    <mergeCell ref="D7:E7"/>
    <mergeCell ref="G6:H6"/>
    <mergeCell ref="K5:L5"/>
    <mergeCell ref="W5:X5"/>
    <mergeCell ref="V7:W7"/>
    <mergeCell ref="W8:X8"/>
    <mergeCell ref="W9:X9"/>
    <mergeCell ref="M15:N15"/>
    <mergeCell ref="O15:P15"/>
    <mergeCell ref="G16:H16"/>
    <mergeCell ref="AA20:AB20"/>
    <mergeCell ref="AA21:AB21"/>
    <mergeCell ref="AE12:AF12"/>
    <mergeCell ref="AE13:AF13"/>
    <mergeCell ref="AA16:AB16"/>
    <mergeCell ref="AA17:AB17"/>
    <mergeCell ref="AE16:AF16"/>
    <mergeCell ref="AE17:AF17"/>
    <mergeCell ref="G18:H18"/>
    <mergeCell ref="I18:J18"/>
    <mergeCell ref="K18:L18"/>
    <mergeCell ref="M18:N18"/>
    <mergeCell ref="O18:P18"/>
    <mergeCell ref="G15:H15"/>
    <mergeCell ref="AA13:AB13"/>
    <mergeCell ref="G14:H14"/>
    <mergeCell ref="AA12:AB12"/>
    <mergeCell ref="Q8:R8"/>
    <mergeCell ref="AA4:AB4"/>
    <mergeCell ref="AA5:AB5"/>
    <mergeCell ref="O3:P3"/>
    <mergeCell ref="Q3:R3"/>
    <mergeCell ref="S3:T3"/>
    <mergeCell ref="M6:N6"/>
    <mergeCell ref="G9:H9"/>
    <mergeCell ref="AA9:AB9"/>
    <mergeCell ref="G8:H8"/>
    <mergeCell ref="G7:H7"/>
    <mergeCell ref="O7:P7"/>
    <mergeCell ref="S9:T9"/>
    <mergeCell ref="AE20:AF20"/>
    <mergeCell ref="AE21:AF21"/>
    <mergeCell ref="I16:J16"/>
    <mergeCell ref="K16:L16"/>
    <mergeCell ref="M16:N16"/>
    <mergeCell ref="O16:P16"/>
    <mergeCell ref="G17:H17"/>
    <mergeCell ref="I17:J17"/>
    <mergeCell ref="K17:L17"/>
    <mergeCell ref="M17:N17"/>
    <mergeCell ref="O17:P17"/>
    <mergeCell ref="I14:J14"/>
    <mergeCell ref="K14:L14"/>
    <mergeCell ref="M14:N14"/>
    <mergeCell ref="O14:P14"/>
    <mergeCell ref="I15:J15"/>
    <mergeCell ref="K15:L15"/>
  </mergeCells>
  <phoneticPr fontId="8" type="noConversion"/>
  <conditionalFormatting sqref="FE132:FE133">
    <cfRule type="cellIs" dxfId="665" priority="32839" stopIfTrue="1" operator="equal">
      <formula>2</formula>
    </cfRule>
  </conditionalFormatting>
  <conditionalFormatting sqref="FI132:FI133">
    <cfRule type="cellIs" dxfId="664" priority="32835" stopIfTrue="1" operator="equal">
      <formula>2</formula>
    </cfRule>
  </conditionalFormatting>
  <conditionalFormatting sqref="FM132:FM133">
    <cfRule type="cellIs" dxfId="663" priority="32831" stopIfTrue="1" operator="equal">
      <formula>2</formula>
    </cfRule>
  </conditionalFormatting>
  <conditionalFormatting sqref="FE4:FE5">
    <cfRule type="cellIs" dxfId="662" priority="35399" stopIfTrue="1" operator="equal">
      <formula>2</formula>
    </cfRule>
  </conditionalFormatting>
  <conditionalFormatting sqref="FE4">
    <cfRule type="expression" dxfId="661" priority="35398" stopIfTrue="1">
      <formula>$FE$5=2</formula>
    </cfRule>
  </conditionalFormatting>
  <conditionalFormatting sqref="FE5">
    <cfRule type="expression" dxfId="660" priority="35397" stopIfTrue="1">
      <formula>$FE$4=2</formula>
    </cfRule>
  </conditionalFormatting>
  <conditionalFormatting sqref="FE4:FE5">
    <cfRule type="expression" dxfId="659" priority="35392" stopIfTrue="1">
      <formula>NOT(AND(SUM($FE$4:$FE$5) &lt;= 3,AND(NOT($FE$4&lt;0),NOT($FE$5&lt;0)),NOT(AND($FE$4=0,$FE$5=3)),NOT(AND($FE$4=3,$FE$5=0))))</formula>
    </cfRule>
  </conditionalFormatting>
  <conditionalFormatting sqref="FI4:FI5">
    <cfRule type="cellIs" dxfId="658" priority="35395" stopIfTrue="1" operator="equal">
      <formula>2</formula>
    </cfRule>
  </conditionalFormatting>
  <conditionalFormatting sqref="FI4">
    <cfRule type="expression" dxfId="657" priority="35394" stopIfTrue="1">
      <formula>$FI$5=2</formula>
    </cfRule>
  </conditionalFormatting>
  <conditionalFormatting sqref="FI5">
    <cfRule type="expression" dxfId="656" priority="35393" stopIfTrue="1">
      <formula>$FI$4=2</formula>
    </cfRule>
  </conditionalFormatting>
  <conditionalFormatting sqref="FI4:FI5">
    <cfRule type="expression" dxfId="655" priority="35388" stopIfTrue="1">
      <formula>NOT(AND(SUM($FI$4:$FI$5) &lt;= 3,AND(NOT($FI$4&lt;0),NOT($FI$5&lt;0)),NOT(AND($FI$4=0,$FI$5=3)),NOT(AND($FI$4=3,$FI$5=0))))</formula>
    </cfRule>
  </conditionalFormatting>
  <conditionalFormatting sqref="FM4:FM5">
    <cfRule type="cellIs" dxfId="654" priority="35391" stopIfTrue="1" operator="equal">
      <formula>2</formula>
    </cfRule>
  </conditionalFormatting>
  <conditionalFormatting sqref="FM4">
    <cfRule type="expression" dxfId="653" priority="35390" stopIfTrue="1">
      <formula>$FM$5=2</formula>
    </cfRule>
  </conditionalFormatting>
  <conditionalFormatting sqref="FM5">
    <cfRule type="expression" dxfId="652" priority="35389" stopIfTrue="1">
      <formula>$FM$4=2</formula>
    </cfRule>
  </conditionalFormatting>
  <conditionalFormatting sqref="FM4:FM5">
    <cfRule type="expression" dxfId="651" priority="35384" stopIfTrue="1">
      <formula>NOT(AND(SUM($FM$4:$FM$5) &lt;= 3,AND(NOT($FM$4&lt;0),NOT($FM$5&lt;0)),NOT(AND($FM$4=0,$FM$5=3)),NOT(AND($FM$4=3,$FM$5=0))))</formula>
    </cfRule>
  </conditionalFormatting>
  <conditionalFormatting sqref="FE136:FE137">
    <cfRule type="cellIs" dxfId="650" priority="32759" stopIfTrue="1" operator="equal">
      <formula>2</formula>
    </cfRule>
  </conditionalFormatting>
  <conditionalFormatting sqref="FI136:FI137">
    <cfRule type="cellIs" dxfId="649" priority="32755" stopIfTrue="1" operator="equal">
      <formula>2</formula>
    </cfRule>
  </conditionalFormatting>
  <conditionalFormatting sqref="FM136:FM137">
    <cfRule type="cellIs" dxfId="648" priority="32751" stopIfTrue="1" operator="equal">
      <formula>2</formula>
    </cfRule>
  </conditionalFormatting>
  <conditionalFormatting sqref="FE8:FE9">
    <cfRule type="cellIs" dxfId="647" priority="35319" stopIfTrue="1" operator="equal">
      <formula>2</formula>
    </cfRule>
  </conditionalFormatting>
  <conditionalFormatting sqref="FE8">
    <cfRule type="expression" dxfId="646" priority="35318" stopIfTrue="1">
      <formula>$FE$9=2</formula>
    </cfRule>
  </conditionalFormatting>
  <conditionalFormatting sqref="FE9">
    <cfRule type="expression" dxfId="645" priority="35317" stopIfTrue="1">
      <formula>$FE$8=2</formula>
    </cfRule>
  </conditionalFormatting>
  <conditionalFormatting sqref="FE8:FE9">
    <cfRule type="expression" dxfId="644" priority="35312" stopIfTrue="1">
      <formula>NOT(AND(SUM($FE$8:$FE$9) &lt;= 3,AND(NOT($FE$8&lt;0),NOT($FE$9&lt;0)),NOT(AND($FE$8=0,$FE$9=3)),NOT(AND($FE$8=3,$FE$9=0))))</formula>
    </cfRule>
  </conditionalFormatting>
  <conditionalFormatting sqref="FI8:FI9">
    <cfRule type="cellIs" dxfId="643" priority="35315" stopIfTrue="1" operator="equal">
      <formula>2</formula>
    </cfRule>
  </conditionalFormatting>
  <conditionalFormatting sqref="FI8">
    <cfRule type="expression" dxfId="642" priority="35314" stopIfTrue="1">
      <formula>$FI$9=2</formula>
    </cfRule>
  </conditionalFormatting>
  <conditionalFormatting sqref="FI9">
    <cfRule type="expression" dxfId="641" priority="35313" stopIfTrue="1">
      <formula>$FI$8=2</formula>
    </cfRule>
  </conditionalFormatting>
  <conditionalFormatting sqref="FI8:FI9">
    <cfRule type="expression" dxfId="640" priority="35308" stopIfTrue="1">
      <formula>NOT(AND(SUM($FI$8:$FI$9) &lt;= 3,AND(NOT($FI$8&lt;0),NOT($FI$9&lt;0)),NOT(AND($FI$8=0,$FI$9=3)),NOT(AND($FI$8=3,$FI$9=0))))</formula>
    </cfRule>
  </conditionalFormatting>
  <conditionalFormatting sqref="FM8:FM9">
    <cfRule type="cellIs" dxfId="639" priority="35311" stopIfTrue="1" operator="equal">
      <formula>2</formula>
    </cfRule>
  </conditionalFormatting>
  <conditionalFormatting sqref="FM8">
    <cfRule type="expression" dxfId="638" priority="35310" stopIfTrue="1">
      <formula>$FM$9=2</formula>
    </cfRule>
  </conditionalFormatting>
  <conditionalFormatting sqref="FM9">
    <cfRule type="expression" dxfId="637" priority="35309" stopIfTrue="1">
      <formula>$FM$8=2</formula>
    </cfRule>
  </conditionalFormatting>
  <conditionalFormatting sqref="FM8:FM9">
    <cfRule type="expression" dxfId="636" priority="35304" stopIfTrue="1">
      <formula>NOT(AND(SUM($FM$8:$FM$9) &lt;= 3,AND(NOT($FM$8&lt;0),NOT($FM$9&lt;0)),NOT(AND($FM$8=0,$FM$9=3)),NOT(AND($FM$8=3,$FM$9=0))))</formula>
    </cfRule>
  </conditionalFormatting>
  <conditionalFormatting sqref="FE140:FE141">
    <cfRule type="cellIs" dxfId="635" priority="32679" stopIfTrue="1" operator="equal">
      <formula>2</formula>
    </cfRule>
  </conditionalFormatting>
  <conditionalFormatting sqref="FI140:FI141">
    <cfRule type="cellIs" dxfId="634" priority="32675" stopIfTrue="1" operator="equal">
      <formula>2</formula>
    </cfRule>
  </conditionalFormatting>
  <conditionalFormatting sqref="FM140:FM141">
    <cfRule type="cellIs" dxfId="633" priority="32671" stopIfTrue="1" operator="equal">
      <formula>2</formula>
    </cfRule>
  </conditionalFormatting>
  <conditionalFormatting sqref="FE12:FE13">
    <cfRule type="cellIs" dxfId="632" priority="35239" stopIfTrue="1" operator="equal">
      <formula>2</formula>
    </cfRule>
  </conditionalFormatting>
  <conditionalFormatting sqref="FE12">
    <cfRule type="expression" dxfId="631" priority="35238" stopIfTrue="1">
      <formula>$FE$13=2</formula>
    </cfRule>
  </conditionalFormatting>
  <conditionalFormatting sqref="FE13">
    <cfRule type="expression" dxfId="630" priority="35237" stopIfTrue="1">
      <formula>$FE$12=2</formula>
    </cfRule>
  </conditionalFormatting>
  <conditionalFormatting sqref="FE12:FE13">
    <cfRule type="expression" dxfId="629" priority="35232" stopIfTrue="1">
      <formula>NOT(AND(SUM($FE$12:$FE$13) &lt;= 3,AND(NOT($FE$12&lt;0),NOT($FE$13&lt;0)),NOT(AND($FE$12=0,$FE$13=3)),NOT(AND($FE$12=3,$FE$13=0))))</formula>
    </cfRule>
  </conditionalFormatting>
  <conditionalFormatting sqref="FI12:FI13">
    <cfRule type="cellIs" dxfId="628" priority="35235" stopIfTrue="1" operator="equal">
      <formula>2</formula>
    </cfRule>
  </conditionalFormatting>
  <conditionalFormatting sqref="FI12">
    <cfRule type="expression" dxfId="627" priority="35234" stopIfTrue="1">
      <formula>$FI$13=2</formula>
    </cfRule>
  </conditionalFormatting>
  <conditionalFormatting sqref="FI13">
    <cfRule type="expression" dxfId="626" priority="35233" stopIfTrue="1">
      <formula>$FI$12=2</formula>
    </cfRule>
  </conditionalFormatting>
  <conditionalFormatting sqref="FI12:FI13">
    <cfRule type="expression" dxfId="625" priority="35228" stopIfTrue="1">
      <formula>NOT(AND(SUM($FI$12:$FI$13) &lt;= 3,AND(NOT($FI$12&lt;0),NOT($FI$13&lt;0)),NOT(AND($FI$12=0,$FI$13=3)),NOT(AND($FI$12=3,$FI$13=0))))</formula>
    </cfRule>
  </conditionalFormatting>
  <conditionalFormatting sqref="FM12:FM13">
    <cfRule type="cellIs" dxfId="624" priority="35231" stopIfTrue="1" operator="equal">
      <formula>2</formula>
    </cfRule>
  </conditionalFormatting>
  <conditionalFormatting sqref="FM12">
    <cfRule type="expression" dxfId="623" priority="35230" stopIfTrue="1">
      <formula>$FM$13=2</formula>
    </cfRule>
  </conditionalFormatting>
  <conditionalFormatting sqref="FM13">
    <cfRule type="expression" dxfId="622" priority="35229" stopIfTrue="1">
      <formula>$FM$12=2</formula>
    </cfRule>
  </conditionalFormatting>
  <conditionalFormatting sqref="FM12:FM13">
    <cfRule type="expression" dxfId="621" priority="35224" stopIfTrue="1">
      <formula>NOT(AND(SUM($FM$12:$FM$13) &lt;= 3,AND(NOT($FM$12&lt;0),NOT($FM$13&lt;0)),NOT(AND($FM$12=0,$FM$13=3)),NOT(AND($FM$12=3,$FM$13=0))))</formula>
    </cfRule>
  </conditionalFormatting>
  <conditionalFormatting sqref="FE144:FE145">
    <cfRule type="cellIs" dxfId="620" priority="32599" stopIfTrue="1" operator="equal">
      <formula>2</formula>
    </cfRule>
  </conditionalFormatting>
  <conditionalFormatting sqref="FI144:FI145">
    <cfRule type="cellIs" dxfId="619" priority="32595" stopIfTrue="1" operator="equal">
      <formula>2</formula>
    </cfRule>
  </conditionalFormatting>
  <conditionalFormatting sqref="FM144:FM145">
    <cfRule type="cellIs" dxfId="618" priority="32591" stopIfTrue="1" operator="equal">
      <formula>2</formula>
    </cfRule>
  </conditionalFormatting>
  <conditionalFormatting sqref="FE16:FE17">
    <cfRule type="cellIs" dxfId="617" priority="35159" stopIfTrue="1" operator="equal">
      <formula>2</formula>
    </cfRule>
  </conditionalFormatting>
  <conditionalFormatting sqref="FE16">
    <cfRule type="expression" dxfId="616" priority="35158" stopIfTrue="1">
      <formula>$FE$17=2</formula>
    </cfRule>
  </conditionalFormatting>
  <conditionalFormatting sqref="FE17">
    <cfRule type="expression" dxfId="615" priority="35157" stopIfTrue="1">
      <formula>$FE$16=2</formula>
    </cfRule>
  </conditionalFormatting>
  <conditionalFormatting sqref="FE16:FE17">
    <cfRule type="expression" dxfId="614" priority="35152" stopIfTrue="1">
      <formula>NOT(AND(SUM($FE$16:$FE$17) &lt;= 3,AND(NOT($FE$16&lt;0),NOT($FE$17&lt;0)),NOT(AND($FE$16=0,$FE$17=3)),NOT(AND($FE$16=3,$FE$17=0))))</formula>
    </cfRule>
  </conditionalFormatting>
  <conditionalFormatting sqref="FI16:FI17">
    <cfRule type="cellIs" dxfId="613" priority="35155" stopIfTrue="1" operator="equal">
      <formula>2</formula>
    </cfRule>
  </conditionalFormatting>
  <conditionalFormatting sqref="FI16">
    <cfRule type="expression" dxfId="612" priority="35154" stopIfTrue="1">
      <formula>$FI$17=2</formula>
    </cfRule>
  </conditionalFormatting>
  <conditionalFormatting sqref="FI17">
    <cfRule type="expression" dxfId="611" priority="35153" stopIfTrue="1">
      <formula>$FI$16=2</formula>
    </cfRule>
  </conditionalFormatting>
  <conditionalFormatting sqref="FI16:FI17">
    <cfRule type="expression" dxfId="610" priority="35148" stopIfTrue="1">
      <formula>NOT(AND(SUM($FI$16:$FI$17) &lt;= 3,AND(NOT($FI$16&lt;0),NOT($FI$17&lt;0)),NOT(AND($FI$16=0,$FI$17=3)),NOT(AND($FI$16=3,$FI$17=0))))</formula>
    </cfRule>
  </conditionalFormatting>
  <conditionalFormatting sqref="FM16:FM17">
    <cfRule type="cellIs" dxfId="609" priority="35151" stopIfTrue="1" operator="equal">
      <formula>2</formula>
    </cfRule>
  </conditionalFormatting>
  <conditionalFormatting sqref="FM16">
    <cfRule type="expression" dxfId="608" priority="35150" stopIfTrue="1">
      <formula>$FM$17=2</formula>
    </cfRule>
  </conditionalFormatting>
  <conditionalFormatting sqref="FM17">
    <cfRule type="expression" dxfId="607" priority="35149" stopIfTrue="1">
      <formula>$FM$16=2</formula>
    </cfRule>
  </conditionalFormatting>
  <conditionalFormatting sqref="FM16:FM17">
    <cfRule type="expression" dxfId="606" priority="35144" stopIfTrue="1">
      <formula>NOT(AND(SUM($FM$16:$FM$17) &lt;= 3,AND(NOT($FM$16&lt;0),NOT($FM$17&lt;0)),NOT(AND($FM$16=0,$FM$17=3)),NOT(AND($FM$16=3,$FM$17=0))))</formula>
    </cfRule>
  </conditionalFormatting>
  <conditionalFormatting sqref="FE148:FE149">
    <cfRule type="cellIs" dxfId="605" priority="32519" stopIfTrue="1" operator="equal">
      <formula>2</formula>
    </cfRule>
  </conditionalFormatting>
  <conditionalFormatting sqref="FI148:FI149">
    <cfRule type="cellIs" dxfId="604" priority="32515" stopIfTrue="1" operator="equal">
      <formula>2</formula>
    </cfRule>
  </conditionalFormatting>
  <conditionalFormatting sqref="FM148:FM149">
    <cfRule type="cellIs" dxfId="603" priority="32511" stopIfTrue="1" operator="equal">
      <formula>2</formula>
    </cfRule>
  </conditionalFormatting>
  <conditionalFormatting sqref="FE20:FE21">
    <cfRule type="cellIs" dxfId="602" priority="35079" stopIfTrue="1" operator="equal">
      <formula>2</formula>
    </cfRule>
  </conditionalFormatting>
  <conditionalFormatting sqref="FE20">
    <cfRule type="expression" dxfId="601" priority="35078" stopIfTrue="1">
      <formula>$FE$21=2</formula>
    </cfRule>
  </conditionalFormatting>
  <conditionalFormatting sqref="FE21">
    <cfRule type="expression" dxfId="600" priority="35077" stopIfTrue="1">
      <formula>$FE$20=2</formula>
    </cfRule>
  </conditionalFormatting>
  <conditionalFormatting sqref="FE20:FE21">
    <cfRule type="expression" dxfId="599" priority="35072" stopIfTrue="1">
      <formula>NOT(AND(SUM($FE$20:$FE$21) &lt;= 3,AND(NOT($FE$20&lt;0),NOT($FE$21&lt;0)),NOT(AND($FE$20=0,$FE$21=3)),NOT(AND($FE$20=3,$FE$21=0))))</formula>
    </cfRule>
  </conditionalFormatting>
  <conditionalFormatting sqref="FI20:FI21">
    <cfRule type="cellIs" dxfId="598" priority="35075" stopIfTrue="1" operator="equal">
      <formula>2</formula>
    </cfRule>
  </conditionalFormatting>
  <conditionalFormatting sqref="FI20">
    <cfRule type="expression" dxfId="597" priority="35074" stopIfTrue="1">
      <formula>$FI$21=2</formula>
    </cfRule>
  </conditionalFormatting>
  <conditionalFormatting sqref="FI21">
    <cfRule type="expression" dxfId="596" priority="35073" stopIfTrue="1">
      <formula>$FI$20=2</formula>
    </cfRule>
  </conditionalFormatting>
  <conditionalFormatting sqref="FI20:FI21">
    <cfRule type="expression" dxfId="595" priority="35068" stopIfTrue="1">
      <formula>NOT(AND(SUM($FI$20:$FI$21) &lt;= 3,AND(NOT($FI$20&lt;0),NOT($FI$21&lt;0)),NOT(AND($FI$20=0,$FI$21=3)),NOT(AND($FI$20=3,$FI$21=0))))</formula>
    </cfRule>
  </conditionalFormatting>
  <conditionalFormatting sqref="FM20:FM21">
    <cfRule type="cellIs" dxfId="594" priority="35071" stopIfTrue="1" operator="equal">
      <formula>2</formula>
    </cfRule>
  </conditionalFormatting>
  <conditionalFormatting sqref="FM20">
    <cfRule type="expression" dxfId="593" priority="35070" stopIfTrue="1">
      <formula>$FM$21=2</formula>
    </cfRule>
  </conditionalFormatting>
  <conditionalFormatting sqref="FM21">
    <cfRule type="expression" dxfId="592" priority="35069" stopIfTrue="1">
      <formula>$FM$20=2</formula>
    </cfRule>
  </conditionalFormatting>
  <conditionalFormatting sqref="FM20:FM21">
    <cfRule type="expression" dxfId="591" priority="35064" stopIfTrue="1">
      <formula>NOT(AND(SUM($FM$20:$FM$21) &lt;= 3,AND(NOT($FM$20&lt;0),NOT($FM$21&lt;0)),NOT(AND($FM$20=0,$FM$21=3)),NOT(AND($FM$20=3,$FM$21=0))))</formula>
    </cfRule>
  </conditionalFormatting>
  <conditionalFormatting sqref="FE152:FE153">
    <cfRule type="cellIs" dxfId="590" priority="32439" stopIfTrue="1" operator="equal">
      <formula>2</formula>
    </cfRule>
  </conditionalFormatting>
  <conditionalFormatting sqref="FI152:FI153">
    <cfRule type="cellIs" dxfId="589" priority="32435" stopIfTrue="1" operator="equal">
      <formula>2</formula>
    </cfRule>
  </conditionalFormatting>
  <conditionalFormatting sqref="FM152:FM153">
    <cfRule type="cellIs" dxfId="588" priority="32431" stopIfTrue="1" operator="equal">
      <formula>2</formula>
    </cfRule>
  </conditionalFormatting>
  <conditionalFormatting sqref="FE24:FE25">
    <cfRule type="cellIs" dxfId="587" priority="34999" stopIfTrue="1" operator="equal">
      <formula>2</formula>
    </cfRule>
  </conditionalFormatting>
  <conditionalFormatting sqref="FE24">
    <cfRule type="expression" dxfId="586" priority="34998" stopIfTrue="1">
      <formula>$FE$25=2</formula>
    </cfRule>
  </conditionalFormatting>
  <conditionalFormatting sqref="FE25">
    <cfRule type="expression" dxfId="585" priority="34997" stopIfTrue="1">
      <formula>$FE$24=2</formula>
    </cfRule>
  </conditionalFormatting>
  <conditionalFormatting sqref="FE24:FE25">
    <cfRule type="expression" dxfId="584" priority="34992" stopIfTrue="1">
      <formula>NOT(AND(SUM($FE$24:$FE$25) &lt;= 3,AND(NOT($FE$24&lt;0),NOT($FE$25&lt;0)),NOT(AND($FE$24=0,$FE$25=3)),NOT(AND($FE$24=3,$FE$25=0))))</formula>
    </cfRule>
  </conditionalFormatting>
  <conditionalFormatting sqref="FI24:FI25">
    <cfRule type="cellIs" dxfId="583" priority="34995" stopIfTrue="1" operator="equal">
      <formula>2</formula>
    </cfRule>
  </conditionalFormatting>
  <conditionalFormatting sqref="FI24">
    <cfRule type="expression" dxfId="582" priority="34994" stopIfTrue="1">
      <formula>$FI$25=2</formula>
    </cfRule>
  </conditionalFormatting>
  <conditionalFormatting sqref="FI25">
    <cfRule type="expression" dxfId="581" priority="34993" stopIfTrue="1">
      <formula>$FI$24=2</formula>
    </cfRule>
  </conditionalFormatting>
  <conditionalFormatting sqref="FI24:FI25">
    <cfRule type="expression" dxfId="580" priority="34988" stopIfTrue="1">
      <formula>NOT(AND(SUM($FI$24:$FI$25) &lt;= 3,AND(NOT($FI$24&lt;0),NOT($FI$25&lt;0)),NOT(AND($FI$24=0,$FI$25=3)),NOT(AND($FI$24=3,$FI$25=0))))</formula>
    </cfRule>
  </conditionalFormatting>
  <conditionalFormatting sqref="FM24:FM25">
    <cfRule type="cellIs" dxfId="579" priority="34991" stopIfTrue="1" operator="equal">
      <formula>2</formula>
    </cfRule>
  </conditionalFormatting>
  <conditionalFormatting sqref="FM24">
    <cfRule type="expression" dxfId="578" priority="34990" stopIfTrue="1">
      <formula>$FM$25=2</formula>
    </cfRule>
  </conditionalFormatting>
  <conditionalFormatting sqref="FM25">
    <cfRule type="expression" dxfId="577" priority="34989" stopIfTrue="1">
      <formula>$FM$24=2</formula>
    </cfRule>
  </conditionalFormatting>
  <conditionalFormatting sqref="FM24:FM25">
    <cfRule type="expression" dxfId="576" priority="34984" stopIfTrue="1">
      <formula>NOT(AND(SUM($FM$24:$FM$25) &lt;= 3,AND(NOT($FM$24&lt;0),NOT($FM$25&lt;0)),NOT(AND($FM$24=0,$FM$25=3)),NOT(AND($FM$24=3,$FM$25=0))))</formula>
    </cfRule>
  </conditionalFormatting>
  <conditionalFormatting sqref="FE156:FE157">
    <cfRule type="cellIs" dxfId="575" priority="32359" stopIfTrue="1" operator="equal">
      <formula>2</formula>
    </cfRule>
  </conditionalFormatting>
  <conditionalFormatting sqref="FI156:FI157">
    <cfRule type="cellIs" dxfId="574" priority="32355" stopIfTrue="1" operator="equal">
      <formula>2</formula>
    </cfRule>
  </conditionalFormatting>
  <conditionalFormatting sqref="FM156:FM157">
    <cfRule type="cellIs" dxfId="573" priority="32351" stopIfTrue="1" operator="equal">
      <formula>2</formula>
    </cfRule>
  </conditionalFormatting>
  <conditionalFormatting sqref="FE28:FE29">
    <cfRule type="cellIs" dxfId="572" priority="34919" stopIfTrue="1" operator="equal">
      <formula>2</formula>
    </cfRule>
  </conditionalFormatting>
  <conditionalFormatting sqref="FE28">
    <cfRule type="expression" dxfId="571" priority="34918" stopIfTrue="1">
      <formula>$FE$29=2</formula>
    </cfRule>
  </conditionalFormatting>
  <conditionalFormatting sqref="FE29">
    <cfRule type="expression" dxfId="570" priority="34917" stopIfTrue="1">
      <formula>$FE$28=2</formula>
    </cfRule>
  </conditionalFormatting>
  <conditionalFormatting sqref="FE28:FE29">
    <cfRule type="expression" dxfId="569" priority="34912" stopIfTrue="1">
      <formula>NOT(AND(SUM($FE$28:$FE$29) &lt;= 3,AND(NOT($FE$28&lt;0),NOT($FE$29&lt;0)),NOT(AND($FE$28=0,$FE$29=3)),NOT(AND($FE$28=3,$FE$29=0))))</formula>
    </cfRule>
  </conditionalFormatting>
  <conditionalFormatting sqref="FI28:FI29">
    <cfRule type="cellIs" dxfId="568" priority="34915" stopIfTrue="1" operator="equal">
      <formula>2</formula>
    </cfRule>
  </conditionalFormatting>
  <conditionalFormatting sqref="FI28">
    <cfRule type="expression" dxfId="567" priority="34914" stopIfTrue="1">
      <formula>$FI$29=2</formula>
    </cfRule>
  </conditionalFormatting>
  <conditionalFormatting sqref="FI29">
    <cfRule type="expression" dxfId="566" priority="34913" stopIfTrue="1">
      <formula>$FI$28=2</formula>
    </cfRule>
  </conditionalFormatting>
  <conditionalFormatting sqref="FI28:FI29">
    <cfRule type="expression" dxfId="565" priority="34908" stopIfTrue="1">
      <formula>NOT(AND(SUM($FI$28:$FI$29) &lt;= 3,AND(NOT($FI$28&lt;0),NOT($FI$29&lt;0)),NOT(AND($FI$28=0,$FI$29=3)),NOT(AND($FI$28=3,$FI$29=0))))</formula>
    </cfRule>
  </conditionalFormatting>
  <conditionalFormatting sqref="FM28:FM29">
    <cfRule type="cellIs" dxfId="564" priority="34911" stopIfTrue="1" operator="equal">
      <formula>2</formula>
    </cfRule>
  </conditionalFormatting>
  <conditionalFormatting sqref="FM28">
    <cfRule type="expression" dxfId="563" priority="34910" stopIfTrue="1">
      <formula>$FM$29=2</formula>
    </cfRule>
  </conditionalFormatting>
  <conditionalFormatting sqref="FM29">
    <cfRule type="expression" dxfId="562" priority="34909" stopIfTrue="1">
      <formula>$FM$28=2</formula>
    </cfRule>
  </conditionalFormatting>
  <conditionalFormatting sqref="FM28:FM29">
    <cfRule type="expression" dxfId="561" priority="34904" stopIfTrue="1">
      <formula>NOT(AND(SUM($FM$28:$FM$29) &lt;= 3,AND(NOT($FM$28&lt;0),NOT($FM$29&lt;0)),NOT(AND($FM$28=0,$FM$29=3)),NOT(AND($FM$28=3,$FM$29=0))))</formula>
    </cfRule>
  </conditionalFormatting>
  <conditionalFormatting sqref="FE32:FE33">
    <cfRule type="cellIs" dxfId="560" priority="34839" stopIfTrue="1" operator="equal">
      <formula>2</formula>
    </cfRule>
  </conditionalFormatting>
  <conditionalFormatting sqref="FE32">
    <cfRule type="expression" dxfId="559" priority="34838" stopIfTrue="1">
      <formula>$FE$33=2</formula>
    </cfRule>
  </conditionalFormatting>
  <conditionalFormatting sqref="FE33">
    <cfRule type="expression" dxfId="558" priority="34837" stopIfTrue="1">
      <formula>$FE$32=2</formula>
    </cfRule>
  </conditionalFormatting>
  <conditionalFormatting sqref="FE32:FE33">
    <cfRule type="expression" dxfId="557" priority="34832" stopIfTrue="1">
      <formula>NOT(AND(SUM($FE$32:$FE$33) &lt;= 3,AND(NOT($FE$32&lt;0),NOT($FE$33&lt;0)),NOT(AND($FE$32=0,$FE$33=3)),NOT(AND($FE$32=3,$FE$33=0))))</formula>
    </cfRule>
  </conditionalFormatting>
  <conditionalFormatting sqref="FI32:FI33">
    <cfRule type="cellIs" dxfId="556" priority="34835" stopIfTrue="1" operator="equal">
      <formula>2</formula>
    </cfRule>
  </conditionalFormatting>
  <conditionalFormatting sqref="FI32">
    <cfRule type="expression" dxfId="555" priority="34834" stopIfTrue="1">
      <formula>$FI$33=2</formula>
    </cfRule>
  </conditionalFormatting>
  <conditionalFormatting sqref="FI33">
    <cfRule type="expression" dxfId="554" priority="34833" stopIfTrue="1">
      <formula>$FI$32=2</formula>
    </cfRule>
  </conditionalFormatting>
  <conditionalFormatting sqref="FI32:FI33">
    <cfRule type="expression" dxfId="553" priority="34828" stopIfTrue="1">
      <formula>NOT(AND(SUM($FI$32:$FI$33) &lt;= 3,AND(NOT($FI$32&lt;0),NOT($FI$33&lt;0)),NOT(AND($FI$32=0,$FI$33=3)),NOT(AND($FI$32=3,$FI$33=0))))</formula>
    </cfRule>
  </conditionalFormatting>
  <conditionalFormatting sqref="FM32:FM33">
    <cfRule type="cellIs" dxfId="552" priority="34831" stopIfTrue="1" operator="equal">
      <formula>2</formula>
    </cfRule>
  </conditionalFormatting>
  <conditionalFormatting sqref="FM32">
    <cfRule type="expression" dxfId="551" priority="34830" stopIfTrue="1">
      <formula>$FM$33=2</formula>
    </cfRule>
  </conditionalFormatting>
  <conditionalFormatting sqref="FM33">
    <cfRule type="expression" dxfId="550" priority="34829" stopIfTrue="1">
      <formula>$FM$32=2</formula>
    </cfRule>
  </conditionalFormatting>
  <conditionalFormatting sqref="FM32:FM33">
    <cfRule type="expression" dxfId="549" priority="34824" stopIfTrue="1">
      <formula>NOT(AND(SUM($FM$32:$FM$33) &lt;= 3,AND(NOT($FM$32&lt;0),NOT($FM$33&lt;0)),NOT(AND($FM$32=0,$FM$33=3)),NOT(AND($FM$32=3,$FM$33=0))))</formula>
    </cfRule>
  </conditionalFormatting>
  <conditionalFormatting sqref="FE36:FE37">
    <cfRule type="cellIs" dxfId="548" priority="34759" stopIfTrue="1" operator="equal">
      <formula>2</formula>
    </cfRule>
  </conditionalFormatting>
  <conditionalFormatting sqref="FE36">
    <cfRule type="expression" dxfId="547" priority="34758" stopIfTrue="1">
      <formula>$FE$37=2</formula>
    </cfRule>
  </conditionalFormatting>
  <conditionalFormatting sqref="FE37">
    <cfRule type="expression" dxfId="546" priority="34757" stopIfTrue="1">
      <formula>$FE$36=2</formula>
    </cfRule>
  </conditionalFormatting>
  <conditionalFormatting sqref="FE36:FE37">
    <cfRule type="expression" dxfId="545" priority="34752" stopIfTrue="1">
      <formula>NOT(AND(SUM($FE$36:$FE$37) &lt;= 3,AND(NOT($FE$36&lt;0),NOT($FE$37&lt;0)),NOT(AND($FE$36=0,$FE$37=3)),NOT(AND($FE$36=3,$FE$37=0))))</formula>
    </cfRule>
  </conditionalFormatting>
  <conditionalFormatting sqref="FI36:FI37">
    <cfRule type="cellIs" dxfId="544" priority="34755" stopIfTrue="1" operator="equal">
      <formula>2</formula>
    </cfRule>
  </conditionalFormatting>
  <conditionalFormatting sqref="FI36">
    <cfRule type="expression" dxfId="543" priority="34754" stopIfTrue="1">
      <formula>$FI$37=2</formula>
    </cfRule>
  </conditionalFormatting>
  <conditionalFormatting sqref="FI37">
    <cfRule type="expression" dxfId="542" priority="34753" stopIfTrue="1">
      <formula>$FI$36=2</formula>
    </cfRule>
  </conditionalFormatting>
  <conditionalFormatting sqref="FI36:FI37">
    <cfRule type="expression" dxfId="541" priority="34748" stopIfTrue="1">
      <formula>NOT(AND(SUM($FI$36:$FI$37) &lt;= 3,AND(NOT($FI$36&lt;0),NOT($FI$37&lt;0)),NOT(AND($FI$36=0,$FI$37=3)),NOT(AND($FI$36=3,$FI$37=0))))</formula>
    </cfRule>
  </conditionalFormatting>
  <conditionalFormatting sqref="FM36:FM37">
    <cfRule type="cellIs" dxfId="540" priority="34751" stopIfTrue="1" operator="equal">
      <formula>2</formula>
    </cfRule>
  </conditionalFormatting>
  <conditionalFormatting sqref="FM36">
    <cfRule type="expression" dxfId="539" priority="34750" stopIfTrue="1">
      <formula>$FM$37=2</formula>
    </cfRule>
  </conditionalFormatting>
  <conditionalFormatting sqref="FM37">
    <cfRule type="expression" dxfId="538" priority="34749" stopIfTrue="1">
      <formula>$FM$36=2</formula>
    </cfRule>
  </conditionalFormatting>
  <conditionalFormatting sqref="FM36:FM37">
    <cfRule type="expression" dxfId="537" priority="34744" stopIfTrue="1">
      <formula>NOT(AND(SUM($FM$36:$FM$37) &lt;= 3,AND(NOT($FM$36&lt;0),NOT($FM$37&lt;0)),NOT(AND($FM$36=0,$FM$37=3)),NOT(AND($FM$36=3,$FM$37=0))))</formula>
    </cfRule>
  </conditionalFormatting>
  <conditionalFormatting sqref="FE40:FE41">
    <cfRule type="cellIs" dxfId="536" priority="34679" stopIfTrue="1" operator="equal">
      <formula>2</formula>
    </cfRule>
  </conditionalFormatting>
  <conditionalFormatting sqref="FE40">
    <cfRule type="expression" dxfId="535" priority="34678" stopIfTrue="1">
      <formula>$FE$41=2</formula>
    </cfRule>
  </conditionalFormatting>
  <conditionalFormatting sqref="FE41">
    <cfRule type="expression" dxfId="534" priority="34677" stopIfTrue="1">
      <formula>$FE$40=2</formula>
    </cfRule>
  </conditionalFormatting>
  <conditionalFormatting sqref="FE40:FE41">
    <cfRule type="expression" dxfId="533" priority="34672" stopIfTrue="1">
      <formula>NOT(AND(SUM($FE$40:$FE$41) &lt;= 3,AND(NOT($FE$40&lt;0),NOT($FE$41&lt;0)),NOT(AND($FE$40=0,$FE$41=3)),NOT(AND($FE$40=3,$FE$41=0))))</formula>
    </cfRule>
  </conditionalFormatting>
  <conditionalFormatting sqref="FI40:FI41">
    <cfRule type="cellIs" dxfId="532" priority="34675" stopIfTrue="1" operator="equal">
      <formula>2</formula>
    </cfRule>
  </conditionalFormatting>
  <conditionalFormatting sqref="FI40">
    <cfRule type="expression" dxfId="531" priority="34674" stopIfTrue="1">
      <formula>$FI$41=2</formula>
    </cfRule>
  </conditionalFormatting>
  <conditionalFormatting sqref="FI41">
    <cfRule type="expression" dxfId="530" priority="34673" stopIfTrue="1">
      <formula>$FI$40=2</formula>
    </cfRule>
  </conditionalFormatting>
  <conditionalFormatting sqref="FI40:FI41">
    <cfRule type="expression" dxfId="529" priority="34668" stopIfTrue="1">
      <formula>NOT(AND(SUM($FI$40:$FI$41) &lt;= 3,AND(NOT($FI$40&lt;0),NOT($FI$41&lt;0)),NOT(AND($FI$40=0,$FI$41=3)),NOT(AND($FI$40=3,$FI$41=0))))</formula>
    </cfRule>
  </conditionalFormatting>
  <conditionalFormatting sqref="FM40:FM41">
    <cfRule type="cellIs" dxfId="528" priority="34671" stopIfTrue="1" operator="equal">
      <formula>2</formula>
    </cfRule>
  </conditionalFormatting>
  <conditionalFormatting sqref="FM40">
    <cfRule type="expression" dxfId="527" priority="34670" stopIfTrue="1">
      <formula>$FM$41=2</formula>
    </cfRule>
  </conditionalFormatting>
  <conditionalFormatting sqref="FM41">
    <cfRule type="expression" dxfId="526" priority="34669" stopIfTrue="1">
      <formula>$FM$40=2</formula>
    </cfRule>
  </conditionalFormatting>
  <conditionalFormatting sqref="FM40:FM41">
    <cfRule type="expression" dxfId="525" priority="34664" stopIfTrue="1">
      <formula>NOT(AND(SUM($FM$40:$FM$41) &lt;= 3,AND(NOT($FM$40&lt;0),NOT($FM$41&lt;0)),NOT(AND($FM$40=0,$FM$41=3)),NOT(AND($FM$40=3,$FM$41=0))))</formula>
    </cfRule>
  </conditionalFormatting>
  <conditionalFormatting sqref="FE44:FE45">
    <cfRule type="cellIs" dxfId="524" priority="34599" stopIfTrue="1" operator="equal">
      <formula>2</formula>
    </cfRule>
  </conditionalFormatting>
  <conditionalFormatting sqref="FE44">
    <cfRule type="expression" dxfId="523" priority="34598" stopIfTrue="1">
      <formula>$FE$45=2</formula>
    </cfRule>
  </conditionalFormatting>
  <conditionalFormatting sqref="FE45">
    <cfRule type="expression" dxfId="522" priority="34597" stopIfTrue="1">
      <formula>$FE$44=2</formula>
    </cfRule>
  </conditionalFormatting>
  <conditionalFormatting sqref="FE44:FE45">
    <cfRule type="expression" dxfId="521" priority="34592" stopIfTrue="1">
      <formula>NOT(AND(SUM($FE$44:$FE$45) &lt;= 3,AND(NOT($FE$44&lt;0),NOT($FE$45&lt;0)),NOT(AND($FE$44=0,$FE$45=3)),NOT(AND($FE$44=3,$FE$45=0))))</formula>
    </cfRule>
  </conditionalFormatting>
  <conditionalFormatting sqref="FI44:FI45">
    <cfRule type="cellIs" dxfId="520" priority="34595" stopIfTrue="1" operator="equal">
      <formula>2</formula>
    </cfRule>
  </conditionalFormatting>
  <conditionalFormatting sqref="FI44">
    <cfRule type="expression" dxfId="519" priority="34594" stopIfTrue="1">
      <formula>$FI$45=2</formula>
    </cfRule>
  </conditionalFormatting>
  <conditionalFormatting sqref="FI45">
    <cfRule type="expression" dxfId="518" priority="34593" stopIfTrue="1">
      <formula>$FI$44=2</formula>
    </cfRule>
  </conditionalFormatting>
  <conditionalFormatting sqref="FI44:FI45">
    <cfRule type="expression" dxfId="517" priority="34588" stopIfTrue="1">
      <formula>NOT(AND(SUM($FI$44:$FI$45) &lt;= 3,AND(NOT($FI$44&lt;0),NOT($FI$45&lt;0)),NOT(AND($FI$44=0,$FI$45=3)),NOT(AND($FI$44=3,$FI$45=0))))</formula>
    </cfRule>
  </conditionalFormatting>
  <conditionalFormatting sqref="FM44:FM45">
    <cfRule type="cellIs" dxfId="516" priority="34591" stopIfTrue="1" operator="equal">
      <formula>2</formula>
    </cfRule>
  </conditionalFormatting>
  <conditionalFormatting sqref="FM44">
    <cfRule type="expression" dxfId="515" priority="34590" stopIfTrue="1">
      <formula>$FM$45=2</formula>
    </cfRule>
  </conditionalFormatting>
  <conditionalFormatting sqref="FM45">
    <cfRule type="expression" dxfId="514" priority="34589" stopIfTrue="1">
      <formula>$FM$44=2</formula>
    </cfRule>
  </conditionalFormatting>
  <conditionalFormatting sqref="FM44:FM45">
    <cfRule type="expression" dxfId="513" priority="34584" stopIfTrue="1">
      <formula>NOT(AND(SUM($FM$44:$FM$45) &lt;= 3,AND(NOT($FM$44&lt;0),NOT($FM$45&lt;0)),NOT(AND($FM$44=0,$FM$45=3)),NOT(AND($FM$44=3,$FM$45=0))))</formula>
    </cfRule>
  </conditionalFormatting>
  <conditionalFormatting sqref="FE48:FE49">
    <cfRule type="cellIs" dxfId="512" priority="34519" stopIfTrue="1" operator="equal">
      <formula>2</formula>
    </cfRule>
  </conditionalFormatting>
  <conditionalFormatting sqref="FE48">
    <cfRule type="expression" dxfId="511" priority="34518" stopIfTrue="1">
      <formula>$FE$49=2</formula>
    </cfRule>
  </conditionalFormatting>
  <conditionalFormatting sqref="FE49">
    <cfRule type="expression" dxfId="510" priority="34517" stopIfTrue="1">
      <formula>$FE$48=2</formula>
    </cfRule>
  </conditionalFormatting>
  <conditionalFormatting sqref="FE48:FE49">
    <cfRule type="expression" dxfId="509" priority="34512" stopIfTrue="1">
      <formula>NOT(AND(SUM($FE$48:$FE$49) &lt;= 3,AND(NOT($FE$48&lt;0),NOT($FE$49&lt;0)),NOT(AND($FE$48=0,$FE$49=3)),NOT(AND($FE$48=3,$FE$49=0))))</formula>
    </cfRule>
  </conditionalFormatting>
  <conditionalFormatting sqref="FI48:FI49">
    <cfRule type="cellIs" dxfId="508" priority="34515" stopIfTrue="1" operator="equal">
      <formula>2</formula>
    </cfRule>
  </conditionalFormatting>
  <conditionalFormatting sqref="FI48">
    <cfRule type="expression" dxfId="507" priority="34514" stopIfTrue="1">
      <formula>$FI$49=2</formula>
    </cfRule>
  </conditionalFormatting>
  <conditionalFormatting sqref="FI49">
    <cfRule type="expression" dxfId="506" priority="34513" stopIfTrue="1">
      <formula>$FI$48=2</formula>
    </cfRule>
  </conditionalFormatting>
  <conditionalFormatting sqref="FI48:FI49">
    <cfRule type="expression" dxfId="505" priority="34508" stopIfTrue="1">
      <formula>NOT(AND(SUM($FI$48:$FI$49) &lt;= 3,AND(NOT($FI$48&lt;0),NOT($FI$49&lt;0)),NOT(AND($FI$48=0,$FI$49=3)),NOT(AND($FI$48=3,$FI$49=0))))</formula>
    </cfRule>
  </conditionalFormatting>
  <conditionalFormatting sqref="FM48:FM49">
    <cfRule type="cellIs" dxfId="504" priority="34511" stopIfTrue="1" operator="equal">
      <formula>2</formula>
    </cfRule>
  </conditionalFormatting>
  <conditionalFormatting sqref="FM48">
    <cfRule type="expression" dxfId="503" priority="34510" stopIfTrue="1">
      <formula>$FM$49=2</formula>
    </cfRule>
  </conditionalFormatting>
  <conditionalFormatting sqref="FM49">
    <cfRule type="expression" dxfId="502" priority="34509" stopIfTrue="1">
      <formula>$FM$48=2</formula>
    </cfRule>
  </conditionalFormatting>
  <conditionalFormatting sqref="FM48:FM49">
    <cfRule type="expression" dxfId="501" priority="34504" stopIfTrue="1">
      <formula>NOT(AND(SUM($FM$48:$FM$49) &lt;= 3,AND(NOT($FM$48&lt;0),NOT($FM$49&lt;0)),NOT(AND($FM$48=0,$FM$49=3)),NOT(AND($FM$48=3,$FM$49=0))))</formula>
    </cfRule>
  </conditionalFormatting>
  <conditionalFormatting sqref="FE52:FE53">
    <cfRule type="cellIs" dxfId="500" priority="34439" stopIfTrue="1" operator="equal">
      <formula>2</formula>
    </cfRule>
  </conditionalFormatting>
  <conditionalFormatting sqref="FE52">
    <cfRule type="expression" dxfId="499" priority="34438" stopIfTrue="1">
      <formula>$FE$53=2</formula>
    </cfRule>
  </conditionalFormatting>
  <conditionalFormatting sqref="FE53">
    <cfRule type="expression" dxfId="498" priority="34437" stopIfTrue="1">
      <formula>$FE$52=2</formula>
    </cfRule>
  </conditionalFormatting>
  <conditionalFormatting sqref="FE52:FE53">
    <cfRule type="expression" dxfId="497" priority="34432" stopIfTrue="1">
      <formula>NOT(AND(SUM($FE$52:$FE$53) &lt;= 3,AND(NOT($FE$52&lt;0),NOT($FE$53&lt;0)),NOT(AND($FE$52=0,$FE$53=3)),NOT(AND($FE$52=3,$FE$53=0))))</formula>
    </cfRule>
  </conditionalFormatting>
  <conditionalFormatting sqref="FI52:FI53">
    <cfRule type="cellIs" dxfId="496" priority="34435" stopIfTrue="1" operator="equal">
      <formula>2</formula>
    </cfRule>
  </conditionalFormatting>
  <conditionalFormatting sqref="FI52">
    <cfRule type="expression" dxfId="495" priority="34434" stopIfTrue="1">
      <formula>$FI$53=2</formula>
    </cfRule>
  </conditionalFormatting>
  <conditionalFormatting sqref="FI53">
    <cfRule type="expression" dxfId="494" priority="34433" stopIfTrue="1">
      <formula>$FI$52=2</formula>
    </cfRule>
  </conditionalFormatting>
  <conditionalFormatting sqref="FI52:FI53">
    <cfRule type="expression" dxfId="493" priority="34428" stopIfTrue="1">
      <formula>NOT(AND(SUM($FI$52:$FI$53) &lt;= 3,AND(NOT($FI$52&lt;0),NOT($FI$53&lt;0)),NOT(AND($FI$52=0,$FI$53=3)),NOT(AND($FI$52=3,$FI$53=0))))</formula>
    </cfRule>
  </conditionalFormatting>
  <conditionalFormatting sqref="FM52:FM53">
    <cfRule type="cellIs" dxfId="492" priority="34431" stopIfTrue="1" operator="equal">
      <formula>2</formula>
    </cfRule>
  </conditionalFormatting>
  <conditionalFormatting sqref="FM52">
    <cfRule type="expression" dxfId="491" priority="34430" stopIfTrue="1">
      <formula>$FM$53=2</formula>
    </cfRule>
  </conditionalFormatting>
  <conditionalFormatting sqref="FM53">
    <cfRule type="expression" dxfId="490" priority="34429" stopIfTrue="1">
      <formula>$FM$52=2</formula>
    </cfRule>
  </conditionalFormatting>
  <conditionalFormatting sqref="FM52:FM53">
    <cfRule type="expression" dxfId="489" priority="34424" stopIfTrue="1">
      <formula>NOT(AND(SUM($FM$52:$FM$53) &lt;= 3,AND(NOT($FM$52&lt;0),NOT($FM$53&lt;0)),NOT(AND($FM$52=0,$FM$53=3)),NOT(AND($FM$52=3,$FM$53=0))))</formula>
    </cfRule>
  </conditionalFormatting>
  <conditionalFormatting sqref="FE56:FE57">
    <cfRule type="cellIs" dxfId="488" priority="34359" stopIfTrue="1" operator="equal">
      <formula>2</formula>
    </cfRule>
  </conditionalFormatting>
  <conditionalFormatting sqref="FE56">
    <cfRule type="expression" dxfId="487" priority="34358" stopIfTrue="1">
      <formula>$FE$57=2</formula>
    </cfRule>
  </conditionalFormatting>
  <conditionalFormatting sqref="FE57">
    <cfRule type="expression" dxfId="486" priority="34357" stopIfTrue="1">
      <formula>$FE$56=2</formula>
    </cfRule>
  </conditionalFormatting>
  <conditionalFormatting sqref="FE56:FE57">
    <cfRule type="expression" dxfId="485" priority="34352" stopIfTrue="1">
      <formula>NOT(AND(SUM($FE$56:$FE$57) &lt;= 3,AND(NOT($FE$56&lt;0),NOT($FE$57&lt;0)),NOT(AND($FE$56=0,$FE$57=3)),NOT(AND($FE$56=3,$FE$57=0))))</formula>
    </cfRule>
  </conditionalFormatting>
  <conditionalFormatting sqref="FI56:FI57">
    <cfRule type="cellIs" dxfId="484" priority="34355" stopIfTrue="1" operator="equal">
      <formula>2</formula>
    </cfRule>
  </conditionalFormatting>
  <conditionalFormatting sqref="FI56">
    <cfRule type="expression" dxfId="483" priority="34354" stopIfTrue="1">
      <formula>$FI$57=2</formula>
    </cfRule>
  </conditionalFormatting>
  <conditionalFormatting sqref="FI57">
    <cfRule type="expression" dxfId="482" priority="34353" stopIfTrue="1">
      <formula>$FI$56=2</formula>
    </cfRule>
  </conditionalFormatting>
  <conditionalFormatting sqref="FI56:FI57">
    <cfRule type="expression" dxfId="481" priority="34348" stopIfTrue="1">
      <formula>NOT(AND(SUM($FI$56:$FI$57) &lt;= 3,AND(NOT($FI$56&lt;0),NOT($FI$57&lt;0)),NOT(AND($FI$56=0,$FI$57=3)),NOT(AND($FI$56=3,$FI$57=0))))</formula>
    </cfRule>
  </conditionalFormatting>
  <conditionalFormatting sqref="FM56:FM57">
    <cfRule type="cellIs" dxfId="480" priority="34351" stopIfTrue="1" operator="equal">
      <formula>2</formula>
    </cfRule>
  </conditionalFormatting>
  <conditionalFormatting sqref="FM56">
    <cfRule type="expression" dxfId="479" priority="34350" stopIfTrue="1">
      <formula>$FM$57=2</formula>
    </cfRule>
  </conditionalFormatting>
  <conditionalFormatting sqref="FM57">
    <cfRule type="expression" dxfId="478" priority="34349" stopIfTrue="1">
      <formula>$FM$56=2</formula>
    </cfRule>
  </conditionalFormatting>
  <conditionalFormatting sqref="FM56:FM57">
    <cfRule type="expression" dxfId="477" priority="34344" stopIfTrue="1">
      <formula>NOT(AND(SUM($FM$56:$FM$57) &lt;= 3,AND(NOT($FM$56&lt;0),NOT($FM$57&lt;0)),NOT(AND($FM$56=0,$FM$57=3)),NOT(AND($FM$56=3,$FM$57=0))))</formula>
    </cfRule>
  </conditionalFormatting>
  <conditionalFormatting sqref="FE60:FE61">
    <cfRule type="cellIs" dxfId="476" priority="34279" stopIfTrue="1" operator="equal">
      <formula>2</formula>
    </cfRule>
  </conditionalFormatting>
  <conditionalFormatting sqref="FE60">
    <cfRule type="expression" dxfId="475" priority="34278" stopIfTrue="1">
      <formula>$FE$61=2</formula>
    </cfRule>
  </conditionalFormatting>
  <conditionalFormatting sqref="FE61">
    <cfRule type="expression" dxfId="474" priority="34277" stopIfTrue="1">
      <formula>$FE$60=2</formula>
    </cfRule>
  </conditionalFormatting>
  <conditionalFormatting sqref="FE60:FE61">
    <cfRule type="expression" dxfId="473" priority="34272" stopIfTrue="1">
      <formula>NOT(AND(SUM($FE$60:$FE$61) &lt;= 3,AND(NOT($FE$60&lt;0),NOT($FE$61&lt;0)),NOT(AND($FE$60=0,$FE$61=3)),NOT(AND($FE$60=3,$FE$61=0))))</formula>
    </cfRule>
  </conditionalFormatting>
  <conditionalFormatting sqref="FI60:FI61">
    <cfRule type="cellIs" dxfId="472" priority="34275" stopIfTrue="1" operator="equal">
      <formula>2</formula>
    </cfRule>
  </conditionalFormatting>
  <conditionalFormatting sqref="FI60">
    <cfRule type="expression" dxfId="471" priority="34274" stopIfTrue="1">
      <formula>$FI$61=2</formula>
    </cfRule>
  </conditionalFormatting>
  <conditionalFormatting sqref="FI61">
    <cfRule type="expression" dxfId="470" priority="34273" stopIfTrue="1">
      <formula>$FI$60=2</formula>
    </cfRule>
  </conditionalFormatting>
  <conditionalFormatting sqref="FI60:FI61">
    <cfRule type="expression" dxfId="469" priority="34268" stopIfTrue="1">
      <formula>NOT(AND(SUM($FI$60:$FI$61) &lt;= 3,AND(NOT($FI$60&lt;0),NOT($FI$61&lt;0)),NOT(AND($FI$60=0,$FI$61=3)),NOT(AND($FI$60=3,$FI$61=0))))</formula>
    </cfRule>
  </conditionalFormatting>
  <conditionalFormatting sqref="FM60:FM61">
    <cfRule type="cellIs" dxfId="468" priority="34271" stopIfTrue="1" operator="equal">
      <formula>2</formula>
    </cfRule>
  </conditionalFormatting>
  <conditionalFormatting sqref="FM60">
    <cfRule type="expression" dxfId="467" priority="34270" stopIfTrue="1">
      <formula>$FM$61=2</formula>
    </cfRule>
  </conditionalFormatting>
  <conditionalFormatting sqref="FM61">
    <cfRule type="expression" dxfId="466" priority="34269" stopIfTrue="1">
      <formula>$FM$60=2</formula>
    </cfRule>
  </conditionalFormatting>
  <conditionalFormatting sqref="FM60:FM61">
    <cfRule type="expression" dxfId="465" priority="34264" stopIfTrue="1">
      <formula>NOT(AND(SUM($FM$60:$FM$61) &lt;= 3,AND(NOT($FM$60&lt;0),NOT($FM$61&lt;0)),NOT(AND($FM$60=0,$FM$61=3)),NOT(AND($FM$60=3,$FM$61=0))))</formula>
    </cfRule>
  </conditionalFormatting>
  <conditionalFormatting sqref="FE64:FE65">
    <cfRule type="cellIs" dxfId="464" priority="34199" stopIfTrue="1" operator="equal">
      <formula>2</formula>
    </cfRule>
  </conditionalFormatting>
  <conditionalFormatting sqref="FE64">
    <cfRule type="expression" dxfId="463" priority="34198" stopIfTrue="1">
      <formula>$FE$65=2</formula>
    </cfRule>
  </conditionalFormatting>
  <conditionalFormatting sqref="FE65">
    <cfRule type="expression" dxfId="462" priority="34197" stopIfTrue="1">
      <formula>$FE$64=2</formula>
    </cfRule>
  </conditionalFormatting>
  <conditionalFormatting sqref="FE64:FE65">
    <cfRule type="expression" dxfId="461" priority="34192" stopIfTrue="1">
      <formula>NOT(AND(SUM($FE$64:$FE$65) &lt;= 3,AND(NOT($FE$64&lt;0),NOT($FE$65&lt;0)),NOT(AND($FE$64=0,$FE$65=3)),NOT(AND($FE$64=3,$FE$65=0))))</formula>
    </cfRule>
  </conditionalFormatting>
  <conditionalFormatting sqref="FI64:FI65">
    <cfRule type="cellIs" dxfId="460" priority="34195" stopIfTrue="1" operator="equal">
      <formula>2</formula>
    </cfRule>
  </conditionalFormatting>
  <conditionalFormatting sqref="FI64">
    <cfRule type="expression" dxfId="459" priority="34194" stopIfTrue="1">
      <formula>$FI$65=2</formula>
    </cfRule>
  </conditionalFormatting>
  <conditionalFormatting sqref="FI65">
    <cfRule type="expression" dxfId="458" priority="34193" stopIfTrue="1">
      <formula>$FI$64=2</formula>
    </cfRule>
  </conditionalFormatting>
  <conditionalFormatting sqref="FI64:FI65">
    <cfRule type="expression" dxfId="457" priority="34188" stopIfTrue="1">
      <formula>NOT(AND(SUM($FI$64:$FI$65) &lt;= 3,AND(NOT($FI$64&lt;0),NOT($FI$65&lt;0)),NOT(AND($FI$64=0,$FI$65=3)),NOT(AND($FI$64=3,$FI$65=0))))</formula>
    </cfRule>
  </conditionalFormatting>
  <conditionalFormatting sqref="FM64:FM65">
    <cfRule type="cellIs" dxfId="456" priority="34191" stopIfTrue="1" operator="equal">
      <formula>2</formula>
    </cfRule>
  </conditionalFormatting>
  <conditionalFormatting sqref="FM64">
    <cfRule type="expression" dxfId="455" priority="34190" stopIfTrue="1">
      <formula>$FM$65=2</formula>
    </cfRule>
  </conditionalFormatting>
  <conditionalFormatting sqref="FM65">
    <cfRule type="expression" dxfId="454" priority="34189" stopIfTrue="1">
      <formula>$FM$64=2</formula>
    </cfRule>
  </conditionalFormatting>
  <conditionalFormatting sqref="FM64:FM65">
    <cfRule type="expression" dxfId="453" priority="34184" stopIfTrue="1">
      <formula>NOT(AND(SUM($FM$64:$FM$65) &lt;= 3,AND(NOT($FM$64&lt;0),NOT($FM$65&lt;0)),NOT(AND($FM$64=0,$FM$65=3)),NOT(AND($FM$64=3,$FM$65=0))))</formula>
    </cfRule>
  </conditionalFormatting>
  <conditionalFormatting sqref="FE68:FE69">
    <cfRule type="cellIs" dxfId="452" priority="34119" stopIfTrue="1" operator="equal">
      <formula>2</formula>
    </cfRule>
  </conditionalFormatting>
  <conditionalFormatting sqref="FE68">
    <cfRule type="expression" dxfId="451" priority="34118" stopIfTrue="1">
      <formula>$FE$69=2</formula>
    </cfRule>
  </conditionalFormatting>
  <conditionalFormatting sqref="FE69">
    <cfRule type="expression" dxfId="450" priority="34117" stopIfTrue="1">
      <formula>$FE$68=2</formula>
    </cfRule>
  </conditionalFormatting>
  <conditionalFormatting sqref="FE68:FE69">
    <cfRule type="expression" dxfId="449" priority="34112" stopIfTrue="1">
      <formula>NOT(AND(SUM($FE$68:$FE$69) &lt;= 3,AND(NOT($FE$68&lt;0),NOT($FE$69&lt;0)),NOT(AND($FE$68=0,$FE$69=3)),NOT(AND($FE$68=3,$FE$69=0))))</formula>
    </cfRule>
  </conditionalFormatting>
  <conditionalFormatting sqref="FI68:FI69">
    <cfRule type="cellIs" dxfId="448" priority="34115" stopIfTrue="1" operator="equal">
      <formula>2</formula>
    </cfRule>
  </conditionalFormatting>
  <conditionalFormatting sqref="FI68">
    <cfRule type="expression" dxfId="447" priority="34114" stopIfTrue="1">
      <formula>$FI$69=2</formula>
    </cfRule>
  </conditionalFormatting>
  <conditionalFormatting sqref="FI69">
    <cfRule type="expression" dxfId="446" priority="34113" stopIfTrue="1">
      <formula>$FI$68=2</formula>
    </cfRule>
  </conditionalFormatting>
  <conditionalFormatting sqref="FI68:FI69">
    <cfRule type="expression" dxfId="445" priority="34108" stopIfTrue="1">
      <formula>NOT(AND(SUM($FI$68:$FI$69) &lt;= 3,AND(NOT($FI$68&lt;0),NOT($FI$69&lt;0)),NOT(AND($FI$68=0,$FI$69=3)),NOT(AND($FI$68=3,$FI$69=0))))</formula>
    </cfRule>
  </conditionalFormatting>
  <conditionalFormatting sqref="FM68:FM69">
    <cfRule type="cellIs" dxfId="444" priority="34111" stopIfTrue="1" operator="equal">
      <formula>2</formula>
    </cfRule>
  </conditionalFormatting>
  <conditionalFormatting sqref="FM68">
    <cfRule type="expression" dxfId="443" priority="34110" stopIfTrue="1">
      <formula>$FM$69=2</formula>
    </cfRule>
  </conditionalFormatting>
  <conditionalFormatting sqref="FM69">
    <cfRule type="expression" dxfId="442" priority="34109" stopIfTrue="1">
      <formula>$FM$68=2</formula>
    </cfRule>
  </conditionalFormatting>
  <conditionalFormatting sqref="FM68:FM69">
    <cfRule type="expression" dxfId="441" priority="34104" stopIfTrue="1">
      <formula>NOT(AND(SUM($FM$68:$FM$69) &lt;= 3,AND(NOT($FM$68&lt;0),NOT($FM$69&lt;0)),NOT(AND($FM$68=0,$FM$69=3)),NOT(AND($FM$68=3,$FM$69=0))))</formula>
    </cfRule>
  </conditionalFormatting>
  <conditionalFormatting sqref="FE72:FE73">
    <cfRule type="cellIs" dxfId="440" priority="34039" stopIfTrue="1" operator="equal">
      <formula>2</formula>
    </cfRule>
  </conditionalFormatting>
  <conditionalFormatting sqref="FE72">
    <cfRule type="expression" dxfId="439" priority="34038" stopIfTrue="1">
      <formula>$FE$73=2</formula>
    </cfRule>
  </conditionalFormatting>
  <conditionalFormatting sqref="FE73">
    <cfRule type="expression" dxfId="438" priority="34037" stopIfTrue="1">
      <formula>$FE$72=2</formula>
    </cfRule>
  </conditionalFormatting>
  <conditionalFormatting sqref="FE72:FE73">
    <cfRule type="expression" dxfId="437" priority="34032" stopIfTrue="1">
      <formula>NOT(AND(SUM($FE$72:$FE$73) &lt;= 3,AND(NOT($FE$72&lt;0),NOT($FE$73&lt;0)),NOT(AND($FE$72=0,$FE$73=3)),NOT(AND($FE$72=3,$FE$73=0))))</formula>
    </cfRule>
  </conditionalFormatting>
  <conditionalFormatting sqref="FI72:FI73">
    <cfRule type="cellIs" dxfId="436" priority="34035" stopIfTrue="1" operator="equal">
      <formula>2</formula>
    </cfRule>
  </conditionalFormatting>
  <conditionalFormatting sqref="FI72">
    <cfRule type="expression" dxfId="435" priority="34034" stopIfTrue="1">
      <formula>$FI$73=2</formula>
    </cfRule>
  </conditionalFormatting>
  <conditionalFormatting sqref="FI73">
    <cfRule type="expression" dxfId="434" priority="34033" stopIfTrue="1">
      <formula>$FI$72=2</formula>
    </cfRule>
  </conditionalFormatting>
  <conditionalFormatting sqref="FI72:FI73">
    <cfRule type="expression" dxfId="433" priority="34028" stopIfTrue="1">
      <formula>NOT(AND(SUM($FI$72:$FI$73) &lt;= 3,AND(NOT($FI$72&lt;0),NOT($FI$73&lt;0)),NOT(AND($FI$72=0,$FI$73=3)),NOT(AND($FI$72=3,$FI$73=0))))</formula>
    </cfRule>
  </conditionalFormatting>
  <conditionalFormatting sqref="FM72:FM73">
    <cfRule type="cellIs" dxfId="432" priority="34031" stopIfTrue="1" operator="equal">
      <formula>2</formula>
    </cfRule>
  </conditionalFormatting>
  <conditionalFormatting sqref="FM72">
    <cfRule type="expression" dxfId="431" priority="34030" stopIfTrue="1">
      <formula>$FM$73=2</formula>
    </cfRule>
  </conditionalFormatting>
  <conditionalFormatting sqref="FM73">
    <cfRule type="expression" dxfId="430" priority="34029" stopIfTrue="1">
      <formula>$FM$72=2</formula>
    </cfRule>
  </conditionalFormatting>
  <conditionalFormatting sqref="FM72:FM73">
    <cfRule type="expression" dxfId="429" priority="34024" stopIfTrue="1">
      <formula>NOT(AND(SUM($FM$72:$FM$73) &lt;= 3,AND(NOT($FM$72&lt;0),NOT($FM$73&lt;0)),NOT(AND($FM$72=0,$FM$73=3)),NOT(AND($FM$72=3,$FM$73=0))))</formula>
    </cfRule>
  </conditionalFormatting>
  <conditionalFormatting sqref="FE76:FE77">
    <cfRule type="cellIs" dxfId="428" priority="33959" stopIfTrue="1" operator="equal">
      <formula>2</formula>
    </cfRule>
  </conditionalFormatting>
  <conditionalFormatting sqref="FE76">
    <cfRule type="expression" dxfId="427" priority="33958" stopIfTrue="1">
      <formula>$FE$77=2</formula>
    </cfRule>
  </conditionalFormatting>
  <conditionalFormatting sqref="FE77">
    <cfRule type="expression" dxfId="426" priority="33957" stopIfTrue="1">
      <formula>$FE$76=2</formula>
    </cfRule>
  </conditionalFormatting>
  <conditionalFormatting sqref="FE76:FE77">
    <cfRule type="expression" dxfId="425" priority="33952" stopIfTrue="1">
      <formula>NOT(AND(SUM($FE$76:$FE$77) &lt;= 3,AND(NOT($FE$76&lt;0),NOT($FE$77&lt;0)),NOT(AND($FE$76=0,$FE$77=3)),NOT(AND($FE$76=3,$FE$77=0))))</formula>
    </cfRule>
  </conditionalFormatting>
  <conditionalFormatting sqref="FI76:FI77">
    <cfRule type="cellIs" dxfId="424" priority="33955" stopIfTrue="1" operator="equal">
      <formula>2</formula>
    </cfRule>
  </conditionalFormatting>
  <conditionalFormatting sqref="FI76">
    <cfRule type="expression" dxfId="423" priority="33954" stopIfTrue="1">
      <formula>$FI$77=2</formula>
    </cfRule>
  </conditionalFormatting>
  <conditionalFormatting sqref="FI77">
    <cfRule type="expression" dxfId="422" priority="33953" stopIfTrue="1">
      <formula>$FI$76=2</formula>
    </cfRule>
  </conditionalFormatting>
  <conditionalFormatting sqref="FI76:FI77">
    <cfRule type="expression" dxfId="421" priority="33948" stopIfTrue="1">
      <formula>NOT(AND(SUM($FI$76:$FI$77) &lt;= 3,AND(NOT($FI$76&lt;0),NOT($FI$77&lt;0)),NOT(AND($FI$76=0,$FI$77=3)),NOT(AND($FI$76=3,$FI$77=0))))</formula>
    </cfRule>
  </conditionalFormatting>
  <conditionalFormatting sqref="FM76:FM77">
    <cfRule type="cellIs" dxfId="420" priority="33951" stopIfTrue="1" operator="equal">
      <formula>2</formula>
    </cfRule>
  </conditionalFormatting>
  <conditionalFormatting sqref="FM76">
    <cfRule type="expression" dxfId="419" priority="33950" stopIfTrue="1">
      <formula>$FM$77=2</formula>
    </cfRule>
  </conditionalFormatting>
  <conditionalFormatting sqref="FM77">
    <cfRule type="expression" dxfId="418" priority="33949" stopIfTrue="1">
      <formula>$FM$76=2</formula>
    </cfRule>
  </conditionalFormatting>
  <conditionalFormatting sqref="FM76:FM77">
    <cfRule type="expression" dxfId="417" priority="33944" stopIfTrue="1">
      <formula>NOT(AND(SUM($FM$76:$FM$77) &lt;= 3,AND(NOT($FM$76&lt;0),NOT($FM$77&lt;0)),NOT(AND($FM$76=0,$FM$77=3)),NOT(AND($FM$76=3,$FM$77=0))))</formula>
    </cfRule>
  </conditionalFormatting>
  <conditionalFormatting sqref="FE80:FE81">
    <cfRule type="cellIs" dxfId="416" priority="33879" stopIfTrue="1" operator="equal">
      <formula>2</formula>
    </cfRule>
  </conditionalFormatting>
  <conditionalFormatting sqref="FE80">
    <cfRule type="expression" dxfId="415" priority="33878" stopIfTrue="1">
      <formula>$FE$81=2</formula>
    </cfRule>
  </conditionalFormatting>
  <conditionalFormatting sqref="FE81">
    <cfRule type="expression" dxfId="414" priority="33877" stopIfTrue="1">
      <formula>$FE$80=2</formula>
    </cfRule>
  </conditionalFormatting>
  <conditionalFormatting sqref="FE80:FE81">
    <cfRule type="expression" dxfId="413" priority="33872" stopIfTrue="1">
      <formula>NOT(AND(SUM($FE$80:$FE$81) &lt;= 3,AND(NOT($FE$80&lt;0),NOT($FE$81&lt;0)),NOT(AND($FE$80=0,$FE$81=3)),NOT(AND($FE$80=3,$FE$81=0))))</formula>
    </cfRule>
  </conditionalFormatting>
  <conditionalFormatting sqref="FI80:FI81">
    <cfRule type="cellIs" dxfId="412" priority="33875" stopIfTrue="1" operator="equal">
      <formula>2</formula>
    </cfRule>
  </conditionalFormatting>
  <conditionalFormatting sqref="FI80">
    <cfRule type="expression" dxfId="411" priority="33874" stopIfTrue="1">
      <formula>$FI$81=2</formula>
    </cfRule>
  </conditionalFormatting>
  <conditionalFormatting sqref="FI81">
    <cfRule type="expression" dxfId="410" priority="33873" stopIfTrue="1">
      <formula>$FI$80=2</formula>
    </cfRule>
  </conditionalFormatting>
  <conditionalFormatting sqref="FI80:FI81">
    <cfRule type="expression" dxfId="409" priority="33868" stopIfTrue="1">
      <formula>NOT(AND(SUM($FI$80:$FI$81) &lt;= 3,AND(NOT($FI$80&lt;0),NOT($FI$81&lt;0)),NOT(AND($FI$80=0,$FI$81=3)),NOT(AND($FI$80=3,$FI$81=0))))</formula>
    </cfRule>
  </conditionalFormatting>
  <conditionalFormatting sqref="FM80:FM81">
    <cfRule type="cellIs" dxfId="408" priority="33871" stopIfTrue="1" operator="equal">
      <formula>2</formula>
    </cfRule>
  </conditionalFormatting>
  <conditionalFormatting sqref="FM80">
    <cfRule type="expression" dxfId="407" priority="33870" stopIfTrue="1">
      <formula>$FM$81=2</formula>
    </cfRule>
  </conditionalFormatting>
  <conditionalFormatting sqref="FM81">
    <cfRule type="expression" dxfId="406" priority="33869" stopIfTrue="1">
      <formula>$FM$80=2</formula>
    </cfRule>
  </conditionalFormatting>
  <conditionalFormatting sqref="FM80:FM81">
    <cfRule type="expression" dxfId="405" priority="33864" stopIfTrue="1">
      <formula>NOT(AND(SUM($FM$80:$FM$81) &lt;= 3,AND(NOT($FM$80&lt;0),NOT($FM$81&lt;0)),NOT(AND($FM$80=0,$FM$81=3)),NOT(AND($FM$80=3,$FM$81=0))))</formula>
    </cfRule>
  </conditionalFormatting>
  <conditionalFormatting sqref="FE84:FE85">
    <cfRule type="cellIs" dxfId="404" priority="33799" stopIfTrue="1" operator="equal">
      <formula>2</formula>
    </cfRule>
  </conditionalFormatting>
  <conditionalFormatting sqref="FE84">
    <cfRule type="expression" dxfId="403" priority="33798" stopIfTrue="1">
      <formula>$FE$85=2</formula>
    </cfRule>
  </conditionalFormatting>
  <conditionalFormatting sqref="FE85">
    <cfRule type="expression" dxfId="402" priority="33797" stopIfTrue="1">
      <formula>$FE$84=2</formula>
    </cfRule>
  </conditionalFormatting>
  <conditionalFormatting sqref="FE84:FE85">
    <cfRule type="expression" dxfId="401" priority="33792" stopIfTrue="1">
      <formula>NOT(AND(SUM($FE$84:$FE$85) &lt;= 3,AND(NOT($FE$84&lt;0),NOT($FE$85&lt;0)),NOT(AND($FE$84=0,$FE$85=3)),NOT(AND($FE$84=3,$FE$85=0))))</formula>
    </cfRule>
  </conditionalFormatting>
  <conditionalFormatting sqref="FI84:FI85">
    <cfRule type="cellIs" dxfId="400" priority="33795" stopIfTrue="1" operator="equal">
      <formula>2</formula>
    </cfRule>
  </conditionalFormatting>
  <conditionalFormatting sqref="FI84">
    <cfRule type="expression" dxfId="399" priority="33794" stopIfTrue="1">
      <formula>$FI$85=2</formula>
    </cfRule>
  </conditionalFormatting>
  <conditionalFormatting sqref="FI85">
    <cfRule type="expression" dxfId="398" priority="33793" stopIfTrue="1">
      <formula>$FI$84=2</formula>
    </cfRule>
  </conditionalFormatting>
  <conditionalFormatting sqref="FI84:FI85">
    <cfRule type="expression" dxfId="397" priority="33788" stopIfTrue="1">
      <formula>NOT(AND(SUM($FI$84:$FI$85) &lt;= 3,AND(NOT($FI$84&lt;0),NOT($FI$85&lt;0)),NOT(AND($FI$84=0,$FI$85=3)),NOT(AND($FI$84=3,$FI$85=0))))</formula>
    </cfRule>
  </conditionalFormatting>
  <conditionalFormatting sqref="FM84:FM85">
    <cfRule type="cellIs" dxfId="396" priority="33791" stopIfTrue="1" operator="equal">
      <formula>2</formula>
    </cfRule>
  </conditionalFormatting>
  <conditionalFormatting sqref="FM84">
    <cfRule type="expression" dxfId="395" priority="33790" stopIfTrue="1">
      <formula>$FM$85=2</formula>
    </cfRule>
  </conditionalFormatting>
  <conditionalFormatting sqref="FM85">
    <cfRule type="expression" dxfId="394" priority="33789" stopIfTrue="1">
      <formula>$FM$84=2</formula>
    </cfRule>
  </conditionalFormatting>
  <conditionalFormatting sqref="FM84:FM85">
    <cfRule type="expression" dxfId="393" priority="33784" stopIfTrue="1">
      <formula>NOT(AND(SUM($FM$84:$FM$85) &lt;= 3,AND(NOT($FM$84&lt;0),NOT($FM$85&lt;0)),NOT(AND($FM$84=0,$FM$85=3)),NOT(AND($FM$84=3,$FM$85=0))))</formula>
    </cfRule>
  </conditionalFormatting>
  <conditionalFormatting sqref="FE88:FE89">
    <cfRule type="cellIs" dxfId="392" priority="33719" stopIfTrue="1" operator="equal">
      <formula>2</formula>
    </cfRule>
  </conditionalFormatting>
  <conditionalFormatting sqref="FE88">
    <cfRule type="expression" dxfId="391" priority="33718" stopIfTrue="1">
      <formula>$FE$89=2</formula>
    </cfRule>
  </conditionalFormatting>
  <conditionalFormatting sqref="FE89">
    <cfRule type="expression" dxfId="390" priority="33717" stopIfTrue="1">
      <formula>$FE$88=2</formula>
    </cfRule>
  </conditionalFormatting>
  <conditionalFormatting sqref="FE88:FE89">
    <cfRule type="expression" dxfId="389" priority="33712" stopIfTrue="1">
      <formula>NOT(AND(SUM($FE$88:$FE$89) &lt;= 3,AND(NOT($FE$88&lt;0),NOT($FE$89&lt;0)),NOT(AND($FE$88=0,$FE$89=3)),NOT(AND($FE$88=3,$FE$89=0))))</formula>
    </cfRule>
  </conditionalFormatting>
  <conditionalFormatting sqref="FI88:FI89">
    <cfRule type="cellIs" dxfId="388" priority="33715" stopIfTrue="1" operator="equal">
      <formula>2</formula>
    </cfRule>
  </conditionalFormatting>
  <conditionalFormatting sqref="FI88">
    <cfRule type="expression" dxfId="387" priority="33714" stopIfTrue="1">
      <formula>$FI$89=2</formula>
    </cfRule>
  </conditionalFormatting>
  <conditionalFormatting sqref="FI89">
    <cfRule type="expression" dxfId="386" priority="33713" stopIfTrue="1">
      <formula>$FI$88=2</formula>
    </cfRule>
  </conditionalFormatting>
  <conditionalFormatting sqref="FI88:FI89">
    <cfRule type="expression" dxfId="385" priority="33708" stopIfTrue="1">
      <formula>NOT(AND(SUM($FI$88:$FI$89) &lt;= 3,AND(NOT($FI$88&lt;0),NOT($FI$89&lt;0)),NOT(AND($FI$88=0,$FI$89=3)),NOT(AND($FI$88=3,$FI$89=0))))</formula>
    </cfRule>
  </conditionalFormatting>
  <conditionalFormatting sqref="FM88:FM89">
    <cfRule type="cellIs" dxfId="384" priority="33711" stopIfTrue="1" operator="equal">
      <formula>2</formula>
    </cfRule>
  </conditionalFormatting>
  <conditionalFormatting sqref="FM88">
    <cfRule type="expression" dxfId="383" priority="33710" stopIfTrue="1">
      <formula>$FM$89=2</formula>
    </cfRule>
  </conditionalFormatting>
  <conditionalFormatting sqref="FM89">
    <cfRule type="expression" dxfId="382" priority="33709" stopIfTrue="1">
      <formula>$FM$88=2</formula>
    </cfRule>
  </conditionalFormatting>
  <conditionalFormatting sqref="FM88:FM89">
    <cfRule type="expression" dxfId="381" priority="33704" stopIfTrue="1">
      <formula>NOT(AND(SUM($FM$88:$FM$89) &lt;= 3,AND(NOT($FM$88&lt;0),NOT($FM$89&lt;0)),NOT(AND($FM$88=0,$FM$89=3)),NOT(AND($FM$88=3,$FM$89=0))))</formula>
    </cfRule>
  </conditionalFormatting>
  <conditionalFormatting sqref="FE92:FE93">
    <cfRule type="cellIs" dxfId="380" priority="33639" stopIfTrue="1" operator="equal">
      <formula>2</formula>
    </cfRule>
  </conditionalFormatting>
  <conditionalFormatting sqref="FE92">
    <cfRule type="expression" dxfId="379" priority="33638" stopIfTrue="1">
      <formula>$FE$93=2</formula>
    </cfRule>
  </conditionalFormatting>
  <conditionalFormatting sqref="FE93">
    <cfRule type="expression" dxfId="378" priority="33637" stopIfTrue="1">
      <formula>$FE$92=2</formula>
    </cfRule>
  </conditionalFormatting>
  <conditionalFormatting sqref="FE92:FE93">
    <cfRule type="expression" dxfId="377" priority="33632" stopIfTrue="1">
      <formula>NOT(AND(SUM($FE$92:$FE$93) &lt;= 3,AND(NOT($FE$92&lt;0),NOT($FE$93&lt;0)),NOT(AND($FE$92=0,$FE$93=3)),NOT(AND($FE$92=3,$FE$93=0))))</formula>
    </cfRule>
  </conditionalFormatting>
  <conditionalFormatting sqref="FI92:FI93">
    <cfRule type="cellIs" dxfId="376" priority="33635" stopIfTrue="1" operator="equal">
      <formula>2</formula>
    </cfRule>
  </conditionalFormatting>
  <conditionalFormatting sqref="FI92">
    <cfRule type="expression" dxfId="375" priority="33634" stopIfTrue="1">
      <formula>$FI$93=2</formula>
    </cfRule>
  </conditionalFormatting>
  <conditionalFormatting sqref="FI93">
    <cfRule type="expression" dxfId="374" priority="33633" stopIfTrue="1">
      <formula>$FI$92=2</formula>
    </cfRule>
  </conditionalFormatting>
  <conditionalFormatting sqref="FI92:FI93">
    <cfRule type="expression" dxfId="373" priority="33628" stopIfTrue="1">
      <formula>NOT(AND(SUM($FI$92:$FI$93) &lt;= 3,AND(NOT($FI$92&lt;0),NOT($FI$93&lt;0)),NOT(AND($FI$92=0,$FI$93=3)),NOT(AND($FI$92=3,$FI$93=0))))</formula>
    </cfRule>
  </conditionalFormatting>
  <conditionalFormatting sqref="FM92:FM93">
    <cfRule type="cellIs" dxfId="372" priority="33631" stopIfTrue="1" operator="equal">
      <formula>2</formula>
    </cfRule>
  </conditionalFormatting>
  <conditionalFormatting sqref="FM92">
    <cfRule type="expression" dxfId="371" priority="33630" stopIfTrue="1">
      <formula>$FM$93=2</formula>
    </cfRule>
  </conditionalFormatting>
  <conditionalFormatting sqref="FM93">
    <cfRule type="expression" dxfId="370" priority="33629" stopIfTrue="1">
      <formula>$FM$92=2</formula>
    </cfRule>
  </conditionalFormatting>
  <conditionalFormatting sqref="FM92:FM93">
    <cfRule type="expression" dxfId="369" priority="33624" stopIfTrue="1">
      <formula>NOT(AND(SUM($FM$92:$FM$93) &lt;= 3,AND(NOT($FM$92&lt;0),NOT($FM$93&lt;0)),NOT(AND($FM$92=0,$FM$93=3)),NOT(AND($FM$92=3,$FM$93=0))))</formula>
    </cfRule>
  </conditionalFormatting>
  <conditionalFormatting sqref="FE96:FE97">
    <cfRule type="cellIs" dxfId="368" priority="33559" stopIfTrue="1" operator="equal">
      <formula>2</formula>
    </cfRule>
  </conditionalFormatting>
  <conditionalFormatting sqref="FE96">
    <cfRule type="expression" dxfId="367" priority="33558" stopIfTrue="1">
      <formula>$FE$97=2</formula>
    </cfRule>
  </conditionalFormatting>
  <conditionalFormatting sqref="FE97">
    <cfRule type="expression" dxfId="366" priority="33557" stopIfTrue="1">
      <formula>$FE$96=2</formula>
    </cfRule>
  </conditionalFormatting>
  <conditionalFormatting sqref="FE96:FE97">
    <cfRule type="expression" dxfId="365" priority="33552" stopIfTrue="1">
      <formula>NOT(AND(SUM($FE$96:$FE$97) &lt;= 3,AND(NOT($FE$96&lt;0),NOT($FE$97&lt;0)),NOT(AND($FE$96=0,$FE$97=3)),NOT(AND($FE$96=3,$FE$97=0))))</formula>
    </cfRule>
  </conditionalFormatting>
  <conditionalFormatting sqref="FI96:FI97">
    <cfRule type="cellIs" dxfId="364" priority="33555" stopIfTrue="1" operator="equal">
      <formula>2</formula>
    </cfRule>
  </conditionalFormatting>
  <conditionalFormatting sqref="FI96">
    <cfRule type="expression" dxfId="363" priority="33554" stopIfTrue="1">
      <formula>$FI$97=2</formula>
    </cfRule>
  </conditionalFormatting>
  <conditionalFormatting sqref="FI97">
    <cfRule type="expression" dxfId="362" priority="33553" stopIfTrue="1">
      <formula>$FI$96=2</formula>
    </cfRule>
  </conditionalFormatting>
  <conditionalFormatting sqref="FI96:FI97">
    <cfRule type="expression" dxfId="361" priority="33548" stopIfTrue="1">
      <formula>NOT(AND(SUM($FI$96:$FI$97) &lt;= 3,AND(NOT($FI$96&lt;0),NOT($FI$97&lt;0)),NOT(AND($FI$96=0,$FI$97=3)),NOT(AND($FI$96=3,$FI$97=0))))</formula>
    </cfRule>
  </conditionalFormatting>
  <conditionalFormatting sqref="FM96:FM97">
    <cfRule type="cellIs" dxfId="360" priority="33551" stopIfTrue="1" operator="equal">
      <formula>2</formula>
    </cfRule>
  </conditionalFormatting>
  <conditionalFormatting sqref="FM96">
    <cfRule type="expression" dxfId="359" priority="33550" stopIfTrue="1">
      <formula>$FM$97=2</formula>
    </cfRule>
  </conditionalFormatting>
  <conditionalFormatting sqref="FM97">
    <cfRule type="expression" dxfId="358" priority="33549" stopIfTrue="1">
      <formula>$FM$96=2</formula>
    </cfRule>
  </conditionalFormatting>
  <conditionalFormatting sqref="FM96:FM97">
    <cfRule type="expression" dxfId="357" priority="33544" stopIfTrue="1">
      <formula>NOT(AND(SUM($FM$96:$FM$97) &lt;= 3,AND(NOT($FM$96&lt;0),NOT($FM$97&lt;0)),NOT(AND($FM$96=0,$FM$97=3)),NOT(AND($FM$96=3,$FM$97=0))))</formula>
    </cfRule>
  </conditionalFormatting>
  <conditionalFormatting sqref="FE100:FE101">
    <cfRule type="cellIs" dxfId="356" priority="33479" stopIfTrue="1" operator="equal">
      <formula>2</formula>
    </cfRule>
  </conditionalFormatting>
  <conditionalFormatting sqref="FE100">
    <cfRule type="expression" dxfId="355" priority="33478" stopIfTrue="1">
      <formula>$FE$101=2</formula>
    </cfRule>
  </conditionalFormatting>
  <conditionalFormatting sqref="FE101">
    <cfRule type="expression" dxfId="354" priority="33477" stopIfTrue="1">
      <formula>$FE$100=2</formula>
    </cfRule>
  </conditionalFormatting>
  <conditionalFormatting sqref="FE100:FE101">
    <cfRule type="expression" dxfId="353" priority="33472" stopIfTrue="1">
      <formula>NOT(AND(SUM($FE$100:$FE$101) &lt;= 3,AND(NOT($FE$100&lt;0),NOT($FE$101&lt;0)),NOT(AND($FE$100=0,$FE$101=3)),NOT(AND($FE$100=3,$FE$101=0))))</formula>
    </cfRule>
  </conditionalFormatting>
  <conditionalFormatting sqref="FI100:FI101">
    <cfRule type="cellIs" dxfId="352" priority="33475" stopIfTrue="1" operator="equal">
      <formula>2</formula>
    </cfRule>
  </conditionalFormatting>
  <conditionalFormatting sqref="FI100">
    <cfRule type="expression" dxfId="351" priority="33474" stopIfTrue="1">
      <formula>$FI$101=2</formula>
    </cfRule>
  </conditionalFormatting>
  <conditionalFormatting sqref="FI101">
    <cfRule type="expression" dxfId="350" priority="33473" stopIfTrue="1">
      <formula>$FI$100=2</formula>
    </cfRule>
  </conditionalFormatting>
  <conditionalFormatting sqref="FI100:FI101">
    <cfRule type="expression" dxfId="349" priority="33468" stopIfTrue="1">
      <formula>NOT(AND(SUM($FI$100:$FI$101) &lt;= 3,AND(NOT($FI$100&lt;0),NOT($FI$101&lt;0)),NOT(AND($FI$100=0,$FI$101=3)),NOT(AND($FI$100=3,$FI$101=0))))</formula>
    </cfRule>
  </conditionalFormatting>
  <conditionalFormatting sqref="FM100:FM101">
    <cfRule type="cellIs" dxfId="348" priority="33471" stopIfTrue="1" operator="equal">
      <formula>2</formula>
    </cfRule>
  </conditionalFormatting>
  <conditionalFormatting sqref="FM100">
    <cfRule type="expression" dxfId="347" priority="33470" stopIfTrue="1">
      <formula>$FM$101=2</formula>
    </cfRule>
  </conditionalFormatting>
  <conditionalFormatting sqref="FM101">
    <cfRule type="expression" dxfId="346" priority="33469" stopIfTrue="1">
      <formula>$FM$100=2</formula>
    </cfRule>
  </conditionalFormatting>
  <conditionalFormatting sqref="FM100:FM101">
    <cfRule type="expression" dxfId="345" priority="33464" stopIfTrue="1">
      <formula>NOT(AND(SUM($FM$100:$FM$101) &lt;= 3,AND(NOT($FM$100&lt;0),NOT($FM$101&lt;0)),NOT(AND($FM$100=0,$FM$101=3)),NOT(AND($FM$100=3,$FM$101=0))))</formula>
    </cfRule>
  </conditionalFormatting>
  <conditionalFormatting sqref="FE104:FE105">
    <cfRule type="cellIs" dxfId="344" priority="33399" stopIfTrue="1" operator="equal">
      <formula>2</formula>
    </cfRule>
  </conditionalFormatting>
  <conditionalFormatting sqref="FE104">
    <cfRule type="expression" dxfId="343" priority="33398" stopIfTrue="1">
      <formula>$FE$105=2</formula>
    </cfRule>
  </conditionalFormatting>
  <conditionalFormatting sqref="FE105">
    <cfRule type="expression" dxfId="342" priority="33397" stopIfTrue="1">
      <formula>$FE$104=2</formula>
    </cfRule>
  </conditionalFormatting>
  <conditionalFormatting sqref="FE104:FE105">
    <cfRule type="expression" dxfId="341" priority="33392" stopIfTrue="1">
      <formula>NOT(AND(SUM($FE$104:$FE$105) &lt;= 3,AND(NOT($FE$104&lt;0),NOT($FE$105&lt;0)),NOT(AND($FE$104=0,$FE$105=3)),NOT(AND($FE$104=3,$FE$105=0))))</formula>
    </cfRule>
  </conditionalFormatting>
  <conditionalFormatting sqref="FI104:FI105">
    <cfRule type="cellIs" dxfId="340" priority="33395" stopIfTrue="1" operator="equal">
      <formula>2</formula>
    </cfRule>
  </conditionalFormatting>
  <conditionalFormatting sqref="FI104">
    <cfRule type="expression" dxfId="339" priority="33394" stopIfTrue="1">
      <formula>$FI$105=2</formula>
    </cfRule>
  </conditionalFormatting>
  <conditionalFormatting sqref="FI105">
    <cfRule type="expression" dxfId="338" priority="33393" stopIfTrue="1">
      <formula>$FI$104=2</formula>
    </cfRule>
  </conditionalFormatting>
  <conditionalFormatting sqref="FI104:FI105">
    <cfRule type="expression" dxfId="337" priority="33388" stopIfTrue="1">
      <formula>NOT(AND(SUM($FI$104:$FI$105) &lt;= 3,AND(NOT($FI$104&lt;0),NOT($FI$105&lt;0)),NOT(AND($FI$104=0,$FI$105=3)),NOT(AND($FI$104=3,$FI$105=0))))</formula>
    </cfRule>
  </conditionalFormatting>
  <conditionalFormatting sqref="FM104:FM105">
    <cfRule type="cellIs" dxfId="336" priority="33391" stopIfTrue="1" operator="equal">
      <formula>2</formula>
    </cfRule>
  </conditionalFormatting>
  <conditionalFormatting sqref="FM104">
    <cfRule type="expression" dxfId="335" priority="33390" stopIfTrue="1">
      <formula>$FM$105=2</formula>
    </cfRule>
  </conditionalFormatting>
  <conditionalFormatting sqref="FM105">
    <cfRule type="expression" dxfId="334" priority="33389" stopIfTrue="1">
      <formula>$FM$104=2</formula>
    </cfRule>
  </conditionalFormatting>
  <conditionalFormatting sqref="FM104:FM105">
    <cfRule type="expression" dxfId="333" priority="33384" stopIfTrue="1">
      <formula>NOT(AND(SUM($FM$104:$FM$105) &lt;= 3,AND(NOT($FM$104&lt;0),NOT($FM$105&lt;0)),NOT(AND($FM$104=0,$FM$105=3)),NOT(AND($FM$104=3,$FM$105=0))))</formula>
    </cfRule>
  </conditionalFormatting>
  <conditionalFormatting sqref="FE108:FE109">
    <cfRule type="cellIs" dxfId="332" priority="33319" stopIfTrue="1" operator="equal">
      <formula>2</formula>
    </cfRule>
  </conditionalFormatting>
  <conditionalFormatting sqref="FE108">
    <cfRule type="expression" dxfId="331" priority="33318" stopIfTrue="1">
      <formula>$FE$109=2</formula>
    </cfRule>
  </conditionalFormatting>
  <conditionalFormatting sqref="FE109">
    <cfRule type="expression" dxfId="330" priority="33317" stopIfTrue="1">
      <formula>$FE$108=2</formula>
    </cfRule>
  </conditionalFormatting>
  <conditionalFormatting sqref="FE108:FE109">
    <cfRule type="expression" dxfId="329" priority="33312" stopIfTrue="1">
      <formula>NOT(AND(SUM($FE$108:$FE$109) &lt;= 3,AND(NOT($FE$108&lt;0),NOT($FE$109&lt;0)),NOT(AND($FE$108=0,$FE$109=3)),NOT(AND($FE$108=3,$FE$109=0))))</formula>
    </cfRule>
  </conditionalFormatting>
  <conditionalFormatting sqref="FI108:FI109">
    <cfRule type="cellIs" dxfId="328" priority="33315" stopIfTrue="1" operator="equal">
      <formula>2</formula>
    </cfRule>
  </conditionalFormatting>
  <conditionalFormatting sqref="FI108">
    <cfRule type="expression" dxfId="327" priority="33314" stopIfTrue="1">
      <formula>$FI$109=2</formula>
    </cfRule>
  </conditionalFormatting>
  <conditionalFormatting sqref="FI109">
    <cfRule type="expression" dxfId="326" priority="33313" stopIfTrue="1">
      <formula>$FI$108=2</formula>
    </cfRule>
  </conditionalFormatting>
  <conditionalFormatting sqref="FI108:FI109">
    <cfRule type="expression" dxfId="325" priority="33308" stopIfTrue="1">
      <formula>NOT(AND(SUM($FI$108:$FI$109) &lt;= 3,AND(NOT($FI$108&lt;0),NOT($FI$109&lt;0)),NOT(AND($FI$108=0,$FI$109=3)),NOT(AND($FI$108=3,$FI$109=0))))</formula>
    </cfRule>
  </conditionalFormatting>
  <conditionalFormatting sqref="FM108:FM109">
    <cfRule type="cellIs" dxfId="324" priority="33311" stopIfTrue="1" operator="equal">
      <formula>2</formula>
    </cfRule>
  </conditionalFormatting>
  <conditionalFormatting sqref="FM108">
    <cfRule type="expression" dxfId="323" priority="33310" stopIfTrue="1">
      <formula>$FM$109=2</formula>
    </cfRule>
  </conditionalFormatting>
  <conditionalFormatting sqref="FM109">
    <cfRule type="expression" dxfId="322" priority="33309" stopIfTrue="1">
      <formula>$FM$108=2</formula>
    </cfRule>
  </conditionalFormatting>
  <conditionalFormatting sqref="FM108:FM109">
    <cfRule type="expression" dxfId="321" priority="33304" stopIfTrue="1">
      <formula>NOT(AND(SUM($FM$108:$FM$109) &lt;= 3,AND(NOT($FM$108&lt;0),NOT($FM$109&lt;0)),NOT(AND($FM$108=0,$FM$109=3)),NOT(AND($FM$108=3,$FM$109=0))))</formula>
    </cfRule>
  </conditionalFormatting>
  <conditionalFormatting sqref="FE112:FE113">
    <cfRule type="cellIs" dxfId="320" priority="33239" stopIfTrue="1" operator="equal">
      <formula>2</formula>
    </cfRule>
  </conditionalFormatting>
  <conditionalFormatting sqref="FE112">
    <cfRule type="expression" dxfId="319" priority="33238" stopIfTrue="1">
      <formula>$FE$113=2</formula>
    </cfRule>
  </conditionalFormatting>
  <conditionalFormatting sqref="FE113">
    <cfRule type="expression" dxfId="318" priority="33237" stopIfTrue="1">
      <formula>$FE$112=2</formula>
    </cfRule>
  </conditionalFormatting>
  <conditionalFormatting sqref="FE112:FE113">
    <cfRule type="expression" dxfId="317" priority="33232" stopIfTrue="1">
      <formula>NOT(AND(SUM($FE$112:$FE$113) &lt;= 3,AND(NOT($FE$112&lt;0),NOT($FE$113&lt;0)),NOT(AND($FE$112=0,$FE$113=3)),NOT(AND($FE$112=3,$FE$113=0))))</formula>
    </cfRule>
  </conditionalFormatting>
  <conditionalFormatting sqref="FI112:FI113">
    <cfRule type="cellIs" dxfId="316" priority="33235" stopIfTrue="1" operator="equal">
      <formula>2</formula>
    </cfRule>
  </conditionalFormatting>
  <conditionalFormatting sqref="FI112">
    <cfRule type="expression" dxfId="315" priority="33234" stopIfTrue="1">
      <formula>$FI$113=2</formula>
    </cfRule>
  </conditionalFormatting>
  <conditionalFormatting sqref="FI113">
    <cfRule type="expression" dxfId="314" priority="33233" stopIfTrue="1">
      <formula>$FI$112=2</formula>
    </cfRule>
  </conditionalFormatting>
  <conditionalFormatting sqref="FI112:FI113">
    <cfRule type="expression" dxfId="313" priority="33228" stopIfTrue="1">
      <formula>NOT(AND(SUM($FI$112:$FI$113) &lt;= 3,AND(NOT($FI$112&lt;0),NOT($FI$113&lt;0)),NOT(AND($FI$112=0,$FI$113=3)),NOT(AND($FI$112=3,$FI$113=0))))</formula>
    </cfRule>
  </conditionalFormatting>
  <conditionalFormatting sqref="FM112:FM113">
    <cfRule type="cellIs" dxfId="312" priority="33231" stopIfTrue="1" operator="equal">
      <formula>2</formula>
    </cfRule>
  </conditionalFormatting>
  <conditionalFormatting sqref="FM112">
    <cfRule type="expression" dxfId="311" priority="33230" stopIfTrue="1">
      <formula>$FM$113=2</formula>
    </cfRule>
  </conditionalFormatting>
  <conditionalFormatting sqref="FM113">
    <cfRule type="expression" dxfId="310" priority="33229" stopIfTrue="1">
      <formula>$FM$112=2</formula>
    </cfRule>
  </conditionalFormatting>
  <conditionalFormatting sqref="FM112:FM113">
    <cfRule type="expression" dxfId="309" priority="33224" stopIfTrue="1">
      <formula>NOT(AND(SUM($FM$112:$FM$113) &lt;= 3,AND(NOT($FM$112&lt;0),NOT($FM$113&lt;0)),NOT(AND($FM$112=0,$FM$113=3)),NOT(AND($FM$112=3,$FM$113=0))))</formula>
    </cfRule>
  </conditionalFormatting>
  <conditionalFormatting sqref="FE116:FE117">
    <cfRule type="cellIs" dxfId="308" priority="33159" stopIfTrue="1" operator="equal">
      <formula>2</formula>
    </cfRule>
  </conditionalFormatting>
  <conditionalFormatting sqref="FE116">
    <cfRule type="expression" dxfId="307" priority="33158" stopIfTrue="1">
      <formula>$FE$117=2</formula>
    </cfRule>
  </conditionalFormatting>
  <conditionalFormatting sqref="FE117">
    <cfRule type="expression" dxfId="306" priority="33157" stopIfTrue="1">
      <formula>$FE$116=2</formula>
    </cfRule>
  </conditionalFormatting>
  <conditionalFormatting sqref="FE116:FE117">
    <cfRule type="expression" dxfId="305" priority="33152" stopIfTrue="1">
      <formula>NOT(AND(SUM($FE$116:$FE$117) &lt;= 3,AND(NOT($FE$116&lt;0),NOT($FE$117&lt;0)),NOT(AND($FE$116=0,$FE$117=3)),NOT(AND($FE$116=3,$FE$117=0))))</formula>
    </cfRule>
  </conditionalFormatting>
  <conditionalFormatting sqref="FI116:FI117">
    <cfRule type="cellIs" dxfId="304" priority="33155" stopIfTrue="1" operator="equal">
      <formula>2</formula>
    </cfRule>
  </conditionalFormatting>
  <conditionalFormatting sqref="FI116">
    <cfRule type="expression" dxfId="303" priority="33154" stopIfTrue="1">
      <formula>$FI$117=2</formula>
    </cfRule>
  </conditionalFormatting>
  <conditionalFormatting sqref="FI117">
    <cfRule type="expression" dxfId="302" priority="33153" stopIfTrue="1">
      <formula>$FI$116=2</formula>
    </cfRule>
  </conditionalFormatting>
  <conditionalFormatting sqref="FI116:FI117">
    <cfRule type="expression" dxfId="301" priority="33148" stopIfTrue="1">
      <formula>NOT(AND(SUM($FI$116:$FI$117) &lt;= 3,AND(NOT($FI$116&lt;0),NOT($FI$117&lt;0)),NOT(AND($FI$116=0,$FI$117=3)),NOT(AND($FI$116=3,$FI$117=0))))</formula>
    </cfRule>
  </conditionalFormatting>
  <conditionalFormatting sqref="FM116:FM117">
    <cfRule type="cellIs" dxfId="300" priority="33151" stopIfTrue="1" operator="equal">
      <formula>2</formula>
    </cfRule>
  </conditionalFormatting>
  <conditionalFormatting sqref="FM116">
    <cfRule type="expression" dxfId="299" priority="33150" stopIfTrue="1">
      <formula>$FM$117=2</formula>
    </cfRule>
  </conditionalFormatting>
  <conditionalFormatting sqref="FM117">
    <cfRule type="expression" dxfId="298" priority="33149" stopIfTrue="1">
      <formula>$FM$116=2</formula>
    </cfRule>
  </conditionalFormatting>
  <conditionalFormatting sqref="FM116:FM117">
    <cfRule type="expression" dxfId="297" priority="33144" stopIfTrue="1">
      <formula>NOT(AND(SUM($FM$116:$FM$117) &lt;= 3,AND(NOT($FM$116&lt;0),NOT($FM$117&lt;0)),NOT(AND($FM$116=0,$FM$117=3)),NOT(AND($FM$116=3,$FM$117=0))))</formula>
    </cfRule>
  </conditionalFormatting>
  <conditionalFormatting sqref="FE120:FE121">
    <cfRule type="cellIs" dxfId="296" priority="33079" stopIfTrue="1" operator="equal">
      <formula>2</formula>
    </cfRule>
  </conditionalFormatting>
  <conditionalFormatting sqref="FE120">
    <cfRule type="expression" dxfId="295" priority="33078" stopIfTrue="1">
      <formula>$FE$121=2</formula>
    </cfRule>
  </conditionalFormatting>
  <conditionalFormatting sqref="FE121">
    <cfRule type="expression" dxfId="294" priority="33077" stopIfTrue="1">
      <formula>$FE$120=2</formula>
    </cfRule>
  </conditionalFormatting>
  <conditionalFormatting sqref="FE120:FE121">
    <cfRule type="expression" dxfId="293" priority="33072" stopIfTrue="1">
      <formula>NOT(AND(SUM($FE$120:$FE$121) &lt;= 3,AND(NOT($FE$120&lt;0),NOT($FE$121&lt;0)),NOT(AND($FE$120=0,$FE$121=3)),NOT(AND($FE$120=3,$FE$121=0))))</formula>
    </cfRule>
  </conditionalFormatting>
  <conditionalFormatting sqref="FI120:FI121">
    <cfRule type="cellIs" dxfId="292" priority="33075" stopIfTrue="1" operator="equal">
      <formula>2</formula>
    </cfRule>
  </conditionalFormatting>
  <conditionalFormatting sqref="FI120">
    <cfRule type="expression" dxfId="291" priority="33074" stopIfTrue="1">
      <formula>$FI$121=2</formula>
    </cfRule>
  </conditionalFormatting>
  <conditionalFormatting sqref="FI121">
    <cfRule type="expression" dxfId="290" priority="33073" stopIfTrue="1">
      <formula>$FI$120=2</formula>
    </cfRule>
  </conditionalFormatting>
  <conditionalFormatting sqref="FI120:FI121">
    <cfRule type="expression" dxfId="289" priority="33068" stopIfTrue="1">
      <formula>NOT(AND(SUM($FI$120:$FI$121) &lt;= 3,AND(NOT($FI$120&lt;0),NOT($FI$121&lt;0)),NOT(AND($FI$120=0,$FI$121=3)),NOT(AND($FI$120=3,$FI$121=0))))</formula>
    </cfRule>
  </conditionalFormatting>
  <conditionalFormatting sqref="FM120:FM121">
    <cfRule type="cellIs" dxfId="288" priority="33071" stopIfTrue="1" operator="equal">
      <formula>2</formula>
    </cfRule>
  </conditionalFormatting>
  <conditionalFormatting sqref="FM120">
    <cfRule type="expression" dxfId="287" priority="33070" stopIfTrue="1">
      <formula>$FM$121=2</formula>
    </cfRule>
  </conditionalFormatting>
  <conditionalFormatting sqref="FM121">
    <cfRule type="expression" dxfId="286" priority="33069" stopIfTrue="1">
      <formula>$FM$120=2</formula>
    </cfRule>
  </conditionalFormatting>
  <conditionalFormatting sqref="FM120:FM121">
    <cfRule type="expression" dxfId="285" priority="33064" stopIfTrue="1">
      <formula>NOT(AND(SUM($FM$120:$FM$121) &lt;= 3,AND(NOT($FM$120&lt;0),NOT($FM$121&lt;0)),NOT(AND($FM$120=0,$FM$121=3)),NOT(AND($FM$120=3,$FM$121=0))))</formula>
    </cfRule>
  </conditionalFormatting>
  <conditionalFormatting sqref="FE124:FE125">
    <cfRule type="cellIs" dxfId="284" priority="32999" stopIfTrue="1" operator="equal">
      <formula>2</formula>
    </cfRule>
  </conditionalFormatting>
  <conditionalFormatting sqref="FE124">
    <cfRule type="expression" dxfId="283" priority="32998" stopIfTrue="1">
      <formula>$FE$125=2</formula>
    </cfRule>
  </conditionalFormatting>
  <conditionalFormatting sqref="FE125">
    <cfRule type="expression" dxfId="282" priority="32997" stopIfTrue="1">
      <formula>$FE$124=2</formula>
    </cfRule>
  </conditionalFormatting>
  <conditionalFormatting sqref="FE124:FE125">
    <cfRule type="expression" dxfId="281" priority="32992" stopIfTrue="1">
      <formula>NOT(AND(SUM($FE$124:$FE$125) &lt;= 3,AND(NOT($FE$124&lt;0),NOT($FE$125&lt;0)),NOT(AND($FE$124=0,$FE$125=3)),NOT(AND($FE$124=3,$FE$125=0))))</formula>
    </cfRule>
  </conditionalFormatting>
  <conditionalFormatting sqref="FI124:FI125">
    <cfRule type="cellIs" dxfId="280" priority="32995" stopIfTrue="1" operator="equal">
      <formula>2</formula>
    </cfRule>
  </conditionalFormatting>
  <conditionalFormatting sqref="FI124">
    <cfRule type="expression" dxfId="279" priority="32994" stopIfTrue="1">
      <formula>$FI$125=2</formula>
    </cfRule>
  </conditionalFormatting>
  <conditionalFormatting sqref="FI125">
    <cfRule type="expression" dxfId="278" priority="32993" stopIfTrue="1">
      <formula>$FI$124=2</formula>
    </cfRule>
  </conditionalFormatting>
  <conditionalFormatting sqref="FI124:FI125">
    <cfRule type="expression" dxfId="277" priority="32988" stopIfTrue="1">
      <formula>NOT(AND(SUM($FI$124:$FI$125) &lt;= 3,AND(NOT($FI$124&lt;0),NOT($FI$125&lt;0)),NOT(AND($FI$124=0,$FI$125=3)),NOT(AND($FI$124=3,$FI$125=0))))</formula>
    </cfRule>
  </conditionalFormatting>
  <conditionalFormatting sqref="FM124:FM125">
    <cfRule type="cellIs" dxfId="276" priority="32991" stopIfTrue="1" operator="equal">
      <formula>2</formula>
    </cfRule>
  </conditionalFormatting>
  <conditionalFormatting sqref="FM124">
    <cfRule type="expression" dxfId="275" priority="32990" stopIfTrue="1">
      <formula>$FM$125=2</formula>
    </cfRule>
  </conditionalFormatting>
  <conditionalFormatting sqref="FM125">
    <cfRule type="expression" dxfId="274" priority="32989" stopIfTrue="1">
      <formula>$FM$124=2</formula>
    </cfRule>
  </conditionalFormatting>
  <conditionalFormatting sqref="FM124:FM125">
    <cfRule type="expression" dxfId="273" priority="32984" stopIfTrue="1">
      <formula>NOT(AND(SUM($FM$124:$FM$125) &lt;= 3,AND(NOT($FM$124&lt;0),NOT($FM$125&lt;0)),NOT(AND($FM$124=0,$FM$125=3)),NOT(AND($FM$124=3,$FM$125=0))))</formula>
    </cfRule>
  </conditionalFormatting>
  <conditionalFormatting sqref="FE128:FE129">
    <cfRule type="cellIs" dxfId="272" priority="32919" stopIfTrue="1" operator="equal">
      <formula>2</formula>
    </cfRule>
  </conditionalFormatting>
  <conditionalFormatting sqref="FE128">
    <cfRule type="expression" dxfId="271" priority="32918" stopIfTrue="1">
      <formula>$FE$129=2</formula>
    </cfRule>
  </conditionalFormatting>
  <conditionalFormatting sqref="FE129">
    <cfRule type="expression" dxfId="270" priority="32917" stopIfTrue="1">
      <formula>$FE$128=2</formula>
    </cfRule>
  </conditionalFormatting>
  <conditionalFormatting sqref="FE128:FE129">
    <cfRule type="expression" dxfId="269" priority="32912" stopIfTrue="1">
      <formula>NOT(AND(SUM($FE$128:$FE$129) &lt;= 3,AND(NOT($FE$128&lt;0),NOT($FE$129&lt;0)),NOT(AND($FE$128=0,$FE$129=3)),NOT(AND($FE$128=3,$FE$129=0))))</formula>
    </cfRule>
  </conditionalFormatting>
  <conditionalFormatting sqref="FI128:FI129">
    <cfRule type="cellIs" dxfId="268" priority="32915" stopIfTrue="1" operator="equal">
      <formula>2</formula>
    </cfRule>
  </conditionalFormatting>
  <conditionalFormatting sqref="FI128">
    <cfRule type="expression" dxfId="267" priority="32914" stopIfTrue="1">
      <formula>$FI$129=2</formula>
    </cfRule>
  </conditionalFormatting>
  <conditionalFormatting sqref="FI129">
    <cfRule type="expression" dxfId="266" priority="32913" stopIfTrue="1">
      <formula>$FI$128=2</formula>
    </cfRule>
  </conditionalFormatting>
  <conditionalFormatting sqref="FI128:FI129">
    <cfRule type="expression" dxfId="265" priority="32908" stopIfTrue="1">
      <formula>NOT(AND(SUM($FI$128:$FI$129) &lt;= 3,AND(NOT($FI$128&lt;0),NOT($FI$129&lt;0)),NOT(AND($FI$128=0,$FI$129=3)),NOT(AND($FI$128=3,$FI$129=0))))</formula>
    </cfRule>
  </conditionalFormatting>
  <conditionalFormatting sqref="FM128:FM129">
    <cfRule type="cellIs" dxfId="264" priority="32911" stopIfTrue="1" operator="equal">
      <formula>2</formula>
    </cfRule>
  </conditionalFormatting>
  <conditionalFormatting sqref="FM128">
    <cfRule type="expression" dxfId="263" priority="32910" stopIfTrue="1">
      <formula>$FM$129=2</formula>
    </cfRule>
  </conditionalFormatting>
  <conditionalFormatting sqref="FM129">
    <cfRule type="expression" dxfId="262" priority="32909" stopIfTrue="1">
      <formula>$FM$128=2</formula>
    </cfRule>
  </conditionalFormatting>
  <conditionalFormatting sqref="FM128:FM129">
    <cfRule type="expression" dxfId="261" priority="32904" stopIfTrue="1">
      <formula>NOT(AND(SUM($FM$128:$FM$129) &lt;= 3,AND(NOT($FM$128&lt;0),NOT($FM$129&lt;0)),NOT(AND($FM$128=0,$FM$129=3)),NOT(AND($FM$128=3,$FM$129=0))))</formula>
    </cfRule>
  </conditionalFormatting>
  <conditionalFormatting sqref="FE132">
    <cfRule type="expression" dxfId="260" priority="32838" stopIfTrue="1">
      <formula>$FE$133=2</formula>
    </cfRule>
  </conditionalFormatting>
  <conditionalFormatting sqref="FE133">
    <cfRule type="expression" dxfId="259" priority="32837" stopIfTrue="1">
      <formula>$FE$132=2</formula>
    </cfRule>
  </conditionalFormatting>
  <conditionalFormatting sqref="FE132:FE133">
    <cfRule type="expression" dxfId="258" priority="32832" stopIfTrue="1">
      <formula>NOT(AND(SUM($FE$132:$FE$133) &lt;= 3,AND(NOT($FE$132&lt;0),NOT($FE$133&lt;0)),NOT(AND($FE$132=0,$FE$133=3)),NOT(AND($FE$132=3,$FE$133=0))))</formula>
    </cfRule>
  </conditionalFormatting>
  <conditionalFormatting sqref="FI132">
    <cfRule type="expression" dxfId="257" priority="32834" stopIfTrue="1">
      <formula>$FI$133=2</formula>
    </cfRule>
  </conditionalFormatting>
  <conditionalFormatting sqref="FI133">
    <cfRule type="expression" dxfId="256" priority="32833" stopIfTrue="1">
      <formula>$FI$132=2</formula>
    </cfRule>
  </conditionalFormatting>
  <conditionalFormatting sqref="FI132:FI133">
    <cfRule type="expression" dxfId="255" priority="32828" stopIfTrue="1">
      <formula>NOT(AND(SUM($FI$132:$FI$133) &lt;= 3,AND(NOT($FI$132&lt;0),NOT($FI$133&lt;0)),NOT(AND($FI$132=0,$FI$133=3)),NOT(AND($FI$132=3,$FI$133=0))))</formula>
    </cfRule>
  </conditionalFormatting>
  <conditionalFormatting sqref="FM132">
    <cfRule type="expression" dxfId="254" priority="32830" stopIfTrue="1">
      <formula>$FM$133=2</formula>
    </cfRule>
  </conditionalFormatting>
  <conditionalFormatting sqref="FM133">
    <cfRule type="expression" dxfId="253" priority="32829" stopIfTrue="1">
      <formula>$FM$132=2</formula>
    </cfRule>
  </conditionalFormatting>
  <conditionalFormatting sqref="FM132:FM133">
    <cfRule type="expression" dxfId="252" priority="32824" stopIfTrue="1">
      <formula>NOT(AND(SUM($FM$132:$FM$133) &lt;= 3,AND(NOT($FM$132&lt;0),NOT($FM$133&lt;0)),NOT(AND($FM$132=0,$FM$133=3)),NOT(AND($FM$132=3,$FM$133=0))))</formula>
    </cfRule>
  </conditionalFormatting>
  <conditionalFormatting sqref="FE136">
    <cfRule type="expression" dxfId="251" priority="32758" stopIfTrue="1">
      <formula>$FE$137=2</formula>
    </cfRule>
  </conditionalFormatting>
  <conditionalFormatting sqref="FE137">
    <cfRule type="expression" dxfId="250" priority="32757" stopIfTrue="1">
      <formula>$FE$136=2</formula>
    </cfRule>
  </conditionalFormatting>
  <conditionalFormatting sqref="FE136:FE137">
    <cfRule type="expression" dxfId="249" priority="32752" stopIfTrue="1">
      <formula>NOT(AND(SUM($FE$136:$FE$137) &lt;= 3,AND(NOT($FE$136&lt;0),NOT($FE$137&lt;0)),NOT(AND($FE$136=0,$FE$137=3)),NOT(AND($FE$136=3,$FE$137=0))))</formula>
    </cfRule>
  </conditionalFormatting>
  <conditionalFormatting sqref="FI136">
    <cfRule type="expression" dxfId="248" priority="32754" stopIfTrue="1">
      <formula>$FI$137=2</formula>
    </cfRule>
  </conditionalFormatting>
  <conditionalFormatting sqref="FI137">
    <cfRule type="expression" dxfId="247" priority="32753" stopIfTrue="1">
      <formula>$FI$136=2</formula>
    </cfRule>
  </conditionalFormatting>
  <conditionalFormatting sqref="FI136:FI137">
    <cfRule type="expression" dxfId="246" priority="32748" stopIfTrue="1">
      <formula>NOT(AND(SUM($FI$136:$FI$137) &lt;= 3,AND(NOT($FI$136&lt;0),NOT($FI$137&lt;0)),NOT(AND($FI$136=0,$FI$137=3)),NOT(AND($FI$136=3,$FI$137=0))))</formula>
    </cfRule>
  </conditionalFormatting>
  <conditionalFormatting sqref="FM136">
    <cfRule type="expression" dxfId="245" priority="32750" stopIfTrue="1">
      <formula>$FM$137=2</formula>
    </cfRule>
  </conditionalFormatting>
  <conditionalFormatting sqref="FM137">
    <cfRule type="expression" dxfId="244" priority="32749" stopIfTrue="1">
      <formula>$FM$136=2</formula>
    </cfRule>
  </conditionalFormatting>
  <conditionalFormatting sqref="FM136:FM137">
    <cfRule type="expression" dxfId="243" priority="32744" stopIfTrue="1">
      <formula>NOT(AND(SUM($FM$136:$FM$137) &lt;= 3,AND(NOT($FM$136&lt;0),NOT($FM$137&lt;0)),NOT(AND($FM$136=0,$FM$137=3)),NOT(AND($FM$136=3,$FM$137=0))))</formula>
    </cfRule>
  </conditionalFormatting>
  <conditionalFormatting sqref="FE140">
    <cfRule type="expression" dxfId="242" priority="32678" stopIfTrue="1">
      <formula>$FE$141=2</formula>
    </cfRule>
  </conditionalFormatting>
  <conditionalFormatting sqref="FE141">
    <cfRule type="expression" dxfId="241" priority="32677" stopIfTrue="1">
      <formula>$FE$140=2</formula>
    </cfRule>
  </conditionalFormatting>
  <conditionalFormatting sqref="FE140:FE141">
    <cfRule type="expression" dxfId="240" priority="32672" stopIfTrue="1">
      <formula>NOT(AND(SUM($FE$140:$FE$141) &lt;= 3,AND(NOT($FE$140&lt;0),NOT($FE$141&lt;0)),NOT(AND($FE$140=0,$FE$141=3)),NOT(AND($FE$140=3,$FE$141=0))))</formula>
    </cfRule>
  </conditionalFormatting>
  <conditionalFormatting sqref="FI140">
    <cfRule type="expression" dxfId="239" priority="32674" stopIfTrue="1">
      <formula>$FI$141=2</formula>
    </cfRule>
  </conditionalFormatting>
  <conditionalFormatting sqref="FI141">
    <cfRule type="expression" dxfId="238" priority="32673" stopIfTrue="1">
      <formula>$FI$140=2</formula>
    </cfRule>
  </conditionalFormatting>
  <conditionalFormatting sqref="FI140:FI141">
    <cfRule type="expression" dxfId="237" priority="32668" stopIfTrue="1">
      <formula>NOT(AND(SUM($FI$140:$FI$141) &lt;= 3,AND(NOT($FI$140&lt;0),NOT($FI$141&lt;0)),NOT(AND($FI$140=0,$FI$141=3)),NOT(AND($FI$140=3,$FI$141=0))))</formula>
    </cfRule>
  </conditionalFormatting>
  <conditionalFormatting sqref="FM140">
    <cfRule type="expression" dxfId="236" priority="32670" stopIfTrue="1">
      <formula>$FM$141=2</formula>
    </cfRule>
  </conditionalFormatting>
  <conditionalFormatting sqref="FM141">
    <cfRule type="expression" dxfId="235" priority="32669" stopIfTrue="1">
      <formula>$FM$140=2</formula>
    </cfRule>
  </conditionalFormatting>
  <conditionalFormatting sqref="FM140:FM141">
    <cfRule type="expression" dxfId="234" priority="32664" stopIfTrue="1">
      <formula>NOT(AND(SUM($FM$140:$FM$141) &lt;= 3,AND(NOT($FM$140&lt;0),NOT($FM$141&lt;0)),NOT(AND($FM$140=0,$FM$141=3)),NOT(AND($FM$140=3,$FM$141=0))))</formula>
    </cfRule>
  </conditionalFormatting>
  <conditionalFormatting sqref="FE144">
    <cfRule type="expression" dxfId="233" priority="32598" stopIfTrue="1">
      <formula>$FE$145=2</formula>
    </cfRule>
  </conditionalFormatting>
  <conditionalFormatting sqref="FE145">
    <cfRule type="expression" dxfId="232" priority="32597" stopIfTrue="1">
      <formula>$FE$144=2</formula>
    </cfRule>
  </conditionalFormatting>
  <conditionalFormatting sqref="FE144:FE145">
    <cfRule type="expression" dxfId="231" priority="32592" stopIfTrue="1">
      <formula>NOT(AND(SUM($FE$144:$FE$145) &lt;= 3,AND(NOT($FE$144&lt;0),NOT($FE$145&lt;0)),NOT(AND($FE$144=0,$FE$145=3)),NOT(AND($FE$144=3,$FE$145=0))))</formula>
    </cfRule>
  </conditionalFormatting>
  <conditionalFormatting sqref="FI144">
    <cfRule type="expression" dxfId="230" priority="32594" stopIfTrue="1">
      <formula>$FI$145=2</formula>
    </cfRule>
  </conditionalFormatting>
  <conditionalFormatting sqref="FI145">
    <cfRule type="expression" dxfId="229" priority="32593" stopIfTrue="1">
      <formula>$FI$144=2</formula>
    </cfRule>
  </conditionalFormatting>
  <conditionalFormatting sqref="FI144:FI145">
    <cfRule type="expression" dxfId="228" priority="32588" stopIfTrue="1">
      <formula>NOT(AND(SUM($FI$144:$FI$145) &lt;= 3,AND(NOT($FI$144&lt;0),NOT($FI$145&lt;0)),NOT(AND($FI$144=0,$FI$145=3)),NOT(AND($FI$144=3,$FI$145=0))))</formula>
    </cfRule>
  </conditionalFormatting>
  <conditionalFormatting sqref="FM144">
    <cfRule type="expression" dxfId="227" priority="32590" stopIfTrue="1">
      <formula>$FM$145=2</formula>
    </cfRule>
  </conditionalFormatting>
  <conditionalFormatting sqref="FM145">
    <cfRule type="expression" dxfId="226" priority="32589" stopIfTrue="1">
      <formula>$FM$144=2</formula>
    </cfRule>
  </conditionalFormatting>
  <conditionalFormatting sqref="FM144:FM145">
    <cfRule type="expression" dxfId="225" priority="32584" stopIfTrue="1">
      <formula>NOT(AND(SUM($FM$144:$FM$145) &lt;= 3,AND(NOT($FM$144&lt;0),NOT($FM$145&lt;0)),NOT(AND($FM$144=0,$FM$145=3)),NOT(AND($FM$144=3,$FM$145=0))))</formula>
    </cfRule>
  </conditionalFormatting>
  <conditionalFormatting sqref="FE148">
    <cfRule type="expression" dxfId="224" priority="32518" stopIfTrue="1">
      <formula>$FE$149=2</formula>
    </cfRule>
  </conditionalFormatting>
  <conditionalFormatting sqref="FE149">
    <cfRule type="expression" dxfId="223" priority="32517" stopIfTrue="1">
      <formula>$FE$148=2</formula>
    </cfRule>
  </conditionalFormatting>
  <conditionalFormatting sqref="FE148:FE149">
    <cfRule type="expression" dxfId="222" priority="32512" stopIfTrue="1">
      <formula>NOT(AND(SUM($FE$148:$FE$149) &lt;= 3,AND(NOT($FE$148&lt;0),NOT($FE$149&lt;0)),NOT(AND($FE$148=0,$FE$149=3)),NOT(AND($FE$148=3,$FE$149=0))))</formula>
    </cfRule>
  </conditionalFormatting>
  <conditionalFormatting sqref="FI148">
    <cfRule type="expression" dxfId="221" priority="32514" stopIfTrue="1">
      <formula>$FI$149=2</formula>
    </cfRule>
  </conditionalFormatting>
  <conditionalFormatting sqref="FI149">
    <cfRule type="expression" dxfId="220" priority="32513" stopIfTrue="1">
      <formula>$FI$148=2</formula>
    </cfRule>
  </conditionalFormatting>
  <conditionalFormatting sqref="FI148:FI149">
    <cfRule type="expression" dxfId="219" priority="32508" stopIfTrue="1">
      <formula>NOT(AND(SUM($FI$148:$FI$149) &lt;= 3,AND(NOT($FI$148&lt;0),NOT($FI$149&lt;0)),NOT(AND($FI$148=0,$FI$149=3)),NOT(AND($FI$148=3,$FI$149=0))))</formula>
    </cfRule>
  </conditionalFormatting>
  <conditionalFormatting sqref="FM148">
    <cfRule type="expression" dxfId="218" priority="32510" stopIfTrue="1">
      <formula>$FM$149=2</formula>
    </cfRule>
  </conditionalFormatting>
  <conditionalFormatting sqref="FM149">
    <cfRule type="expression" dxfId="217" priority="32509" stopIfTrue="1">
      <formula>$FM$148=2</formula>
    </cfRule>
  </conditionalFormatting>
  <conditionalFormatting sqref="FM148:FM149">
    <cfRule type="expression" dxfId="216" priority="32504" stopIfTrue="1">
      <formula>NOT(AND(SUM($FM$148:$FM$149) &lt;= 3,AND(NOT($FM$148&lt;0),NOT($FM$149&lt;0)),NOT(AND($FM$148=0,$FM$149=3)),NOT(AND($FM$148=3,$FM$149=0))))</formula>
    </cfRule>
  </conditionalFormatting>
  <conditionalFormatting sqref="FE152">
    <cfRule type="expression" dxfId="215" priority="32438" stopIfTrue="1">
      <formula>$FE$153=2</formula>
    </cfRule>
  </conditionalFormatting>
  <conditionalFormatting sqref="FE153">
    <cfRule type="expression" dxfId="214" priority="32437" stopIfTrue="1">
      <formula>$FE$152=2</formula>
    </cfRule>
  </conditionalFormatting>
  <conditionalFormatting sqref="FE152:FE153">
    <cfRule type="expression" dxfId="213" priority="32432" stopIfTrue="1">
      <formula>NOT(AND(SUM($FE$152:$FE$153) &lt;= 3,AND(NOT($FE$152&lt;0),NOT($FE$153&lt;0)),NOT(AND($FE$152=0,$FE$153=3)),NOT(AND($FE$152=3,$FE$153=0))))</formula>
    </cfRule>
  </conditionalFormatting>
  <conditionalFormatting sqref="FI152">
    <cfRule type="expression" dxfId="212" priority="32434" stopIfTrue="1">
      <formula>$FI$153=2</formula>
    </cfRule>
  </conditionalFormatting>
  <conditionalFormatting sqref="FI153">
    <cfRule type="expression" dxfId="211" priority="32433" stopIfTrue="1">
      <formula>$FI$152=2</formula>
    </cfRule>
  </conditionalFormatting>
  <conditionalFormatting sqref="FI152:FI153">
    <cfRule type="expression" dxfId="210" priority="32428" stopIfTrue="1">
      <formula>NOT(AND(SUM($FI$152:$FI$153) &lt;= 3,AND(NOT($FI$152&lt;0),NOT($FI$153&lt;0)),NOT(AND($FI$152=0,$FI$153=3)),NOT(AND($FI$152=3,$FI$153=0))))</formula>
    </cfRule>
  </conditionalFormatting>
  <conditionalFormatting sqref="FM152">
    <cfRule type="expression" dxfId="209" priority="32430" stopIfTrue="1">
      <formula>$FM$153=2</formula>
    </cfRule>
  </conditionalFormatting>
  <conditionalFormatting sqref="FM153">
    <cfRule type="expression" dxfId="208" priority="32429" stopIfTrue="1">
      <formula>$FM$152=2</formula>
    </cfRule>
  </conditionalFormatting>
  <conditionalFormatting sqref="FM152:FM153">
    <cfRule type="expression" dxfId="207" priority="32424" stopIfTrue="1">
      <formula>NOT(AND(SUM($FM$152:$FM$153) &lt;= 3,AND(NOT($FM$152&lt;0),NOT($FM$153&lt;0)),NOT(AND($FM$152=0,$FM$153=3)),NOT(AND($FM$152=3,$FM$153=0))))</formula>
    </cfRule>
  </conditionalFormatting>
  <conditionalFormatting sqref="FE156">
    <cfRule type="expression" dxfId="206" priority="32358" stopIfTrue="1">
      <formula>$FE$157=2</formula>
    </cfRule>
  </conditionalFormatting>
  <conditionalFormatting sqref="FE157">
    <cfRule type="expression" dxfId="205" priority="32357" stopIfTrue="1">
      <formula>$FE$156=2</formula>
    </cfRule>
  </conditionalFormatting>
  <conditionalFormatting sqref="FE156:FE157">
    <cfRule type="expression" dxfId="204" priority="32352" stopIfTrue="1">
      <formula>NOT(AND(SUM($FE$156:$FE$157) &lt;= 3,AND(NOT($FE$156&lt;0),NOT($FE$157&lt;0)),NOT(AND($FE$156=0,$FE$157=3)),NOT(AND($FE$156=3,$FE$157=0))))</formula>
    </cfRule>
  </conditionalFormatting>
  <conditionalFormatting sqref="FI156">
    <cfRule type="expression" dxfId="203" priority="32354" stopIfTrue="1">
      <formula>$FI$157=2</formula>
    </cfRule>
  </conditionalFormatting>
  <conditionalFormatting sqref="FI157">
    <cfRule type="expression" dxfId="202" priority="32353" stopIfTrue="1">
      <formula>$FI$156=2</formula>
    </cfRule>
  </conditionalFormatting>
  <conditionalFormatting sqref="FI156:FI157">
    <cfRule type="expression" dxfId="201" priority="32348" stopIfTrue="1">
      <formula>NOT(AND(SUM($FI$156:$FI$157) &lt;= 3,AND(NOT($FI$156&lt;0),NOT($FI$157&lt;0)),NOT(AND($FI$156=0,$FI$157=3)),NOT(AND($FI$156=3,$FI$157=0))))</formula>
    </cfRule>
  </conditionalFormatting>
  <conditionalFormatting sqref="FM156">
    <cfRule type="expression" dxfId="200" priority="32350" stopIfTrue="1">
      <formula>$FM$157=2</formula>
    </cfRule>
  </conditionalFormatting>
  <conditionalFormatting sqref="FM157">
    <cfRule type="expression" dxfId="199" priority="32349" stopIfTrue="1">
      <formula>$FM$156=2</formula>
    </cfRule>
  </conditionalFormatting>
  <conditionalFormatting sqref="FM156:FM157">
    <cfRule type="expression" dxfId="198" priority="32344" stopIfTrue="1">
      <formula>NOT(AND(SUM($FM$156:$FM$157) &lt;= 3,AND(NOT($FM$156&lt;0),NOT($FM$157&lt;0)),NOT(AND($FM$156=0,$FM$157=3)),NOT(AND($FM$156=3,$FM$157=0))))</formula>
    </cfRule>
  </conditionalFormatting>
  <conditionalFormatting sqref="Y4:Y5">
    <cfRule type="cellIs" dxfId="70" priority="61" stopIfTrue="1" operator="equal">
      <formula>2</formula>
    </cfRule>
  </conditionalFormatting>
  <conditionalFormatting sqref="Y4">
    <cfRule type="expression" dxfId="69" priority="60" stopIfTrue="1">
      <formula>$Y$5=2</formula>
    </cfRule>
  </conditionalFormatting>
  <conditionalFormatting sqref="Y5">
    <cfRule type="expression" dxfId="68" priority="59" stopIfTrue="1">
      <formula>$Y$4=2</formula>
    </cfRule>
  </conditionalFormatting>
  <conditionalFormatting sqref="Y4:Y5">
    <cfRule type="expression" dxfId="67" priority="54" stopIfTrue="1">
      <formula>OR(SUM($Y$4:$Y$5) &gt; 3,OR($Y$4&lt; 0,$Y$5 &lt; 0), OR($Y$4&gt;2, $Y$5&gt;2))</formula>
    </cfRule>
  </conditionalFormatting>
  <conditionalFormatting sqref="AC4:AC5">
    <cfRule type="cellIs" dxfId="66" priority="57" stopIfTrue="1" operator="equal">
      <formula>2</formula>
    </cfRule>
  </conditionalFormatting>
  <conditionalFormatting sqref="AC4">
    <cfRule type="expression" dxfId="65" priority="56" stopIfTrue="1">
      <formula>$AC$5=2</formula>
    </cfRule>
  </conditionalFormatting>
  <conditionalFormatting sqref="AC5">
    <cfRule type="expression" dxfId="64" priority="55" stopIfTrue="1">
      <formula>$AC$4=2</formula>
    </cfRule>
  </conditionalFormatting>
  <conditionalFormatting sqref="AC4:AC5">
    <cfRule type="expression" dxfId="63" priority="50" stopIfTrue="1">
      <formula>OR(SUM($AC$4:$AC$5) &gt; 3,OR($AC$4&lt; 0,$AC$5 &lt; 0), OR($AC$4&gt;2, $AC$5&gt;2))</formula>
    </cfRule>
  </conditionalFormatting>
  <conditionalFormatting sqref="AG4:AG5">
    <cfRule type="cellIs" dxfId="62" priority="53" stopIfTrue="1" operator="equal">
      <formula>2</formula>
    </cfRule>
  </conditionalFormatting>
  <conditionalFormatting sqref="AG4">
    <cfRule type="expression" dxfId="61" priority="52" stopIfTrue="1">
      <formula>$AG$5=2</formula>
    </cfRule>
  </conditionalFormatting>
  <conditionalFormatting sqref="AG5">
    <cfRule type="expression" dxfId="60" priority="51" stopIfTrue="1">
      <formula>$AG$4=2</formula>
    </cfRule>
  </conditionalFormatting>
  <conditionalFormatting sqref="AG4:AG5">
    <cfRule type="expression" dxfId="59" priority="46" stopIfTrue="1">
      <formula>OR(SUM($AG$4:$AG$5) &gt; 3,OR($AG$4&lt; 0,$AG$5 &lt; 0), OR($AG$4&gt;2, $AG$5&gt;2))</formula>
    </cfRule>
  </conditionalFormatting>
  <conditionalFormatting sqref="Y8:Y9">
    <cfRule type="cellIs" dxfId="58" priority="49" stopIfTrue="1" operator="equal">
      <formula>2</formula>
    </cfRule>
  </conditionalFormatting>
  <conditionalFormatting sqref="Y8">
    <cfRule type="expression" dxfId="57" priority="48" stopIfTrue="1">
      <formula>$Y$9=2</formula>
    </cfRule>
  </conditionalFormatting>
  <conditionalFormatting sqref="Y9">
    <cfRule type="expression" dxfId="56" priority="47" stopIfTrue="1">
      <formula>$Y$8=2</formula>
    </cfRule>
  </conditionalFormatting>
  <conditionalFormatting sqref="Y8:Y9">
    <cfRule type="expression" dxfId="55" priority="42" stopIfTrue="1">
      <formula>OR(SUM($Y$8:$Y$9) &gt; 3,OR($Y$8&lt; 0,$Y$9 &lt; 0), OR($Y$8&gt;2, $Y$9&gt;2))</formula>
    </cfRule>
  </conditionalFormatting>
  <conditionalFormatting sqref="AC8:AC9">
    <cfRule type="cellIs" dxfId="54" priority="45" stopIfTrue="1" operator="equal">
      <formula>2</formula>
    </cfRule>
  </conditionalFormatting>
  <conditionalFormatting sqref="AC8">
    <cfRule type="expression" dxfId="53" priority="44" stopIfTrue="1">
      <formula>$AC$9=2</formula>
    </cfRule>
  </conditionalFormatting>
  <conditionalFormatting sqref="AC9">
    <cfRule type="expression" dxfId="52" priority="43" stopIfTrue="1">
      <formula>$AC$8=2</formula>
    </cfRule>
  </conditionalFormatting>
  <conditionalFormatting sqref="AC8:AC9">
    <cfRule type="expression" dxfId="51" priority="38" stopIfTrue="1">
      <formula>OR(SUM($AC$8:$AC$9) &gt; 3,OR($AC$8&lt; 0,$AC$9 &lt; 0), OR($AC$8&gt;2, $AC$9&gt;2))</formula>
    </cfRule>
  </conditionalFormatting>
  <conditionalFormatting sqref="AG8:AG9">
    <cfRule type="cellIs" dxfId="50" priority="41" stopIfTrue="1" operator="equal">
      <formula>2</formula>
    </cfRule>
  </conditionalFormatting>
  <conditionalFormatting sqref="AG8">
    <cfRule type="expression" dxfId="49" priority="40" stopIfTrue="1">
      <formula>$AG$9=2</formula>
    </cfRule>
  </conditionalFormatting>
  <conditionalFormatting sqref="AG9">
    <cfRule type="expression" dxfId="48" priority="39" stopIfTrue="1">
      <formula>$AG$8=2</formula>
    </cfRule>
  </conditionalFormatting>
  <conditionalFormatting sqref="AG8:AG9">
    <cfRule type="expression" dxfId="47" priority="34" stopIfTrue="1">
      <formula>OR(SUM($AG$8:$AG$9) &gt; 3,OR($AG$8&lt; 0,$AG$9 &lt; 0), OR($AG$8&gt;2, $AG$9&gt;2))</formula>
    </cfRule>
  </conditionalFormatting>
  <conditionalFormatting sqref="Y12:Y13">
    <cfRule type="cellIs" dxfId="46" priority="37" stopIfTrue="1" operator="equal">
      <formula>2</formula>
    </cfRule>
  </conditionalFormatting>
  <conditionalFormatting sqref="Y12">
    <cfRule type="expression" dxfId="45" priority="36" stopIfTrue="1">
      <formula>$Y$13=2</formula>
    </cfRule>
  </conditionalFormatting>
  <conditionalFormatting sqref="Y13">
    <cfRule type="expression" dxfId="44" priority="35" stopIfTrue="1">
      <formula>$Y$12=2</formula>
    </cfRule>
  </conditionalFormatting>
  <conditionalFormatting sqref="Y12:Y13">
    <cfRule type="expression" dxfId="43" priority="30" stopIfTrue="1">
      <formula>OR(SUM($Y$12:$Y$13) &gt; 3,OR($Y$12&lt; 0,$Y$13 &lt; 0), OR($Y$12&gt;2, $Y$13&gt;2))</formula>
    </cfRule>
  </conditionalFormatting>
  <conditionalFormatting sqref="AC12:AC13">
    <cfRule type="cellIs" dxfId="42" priority="33" stopIfTrue="1" operator="equal">
      <formula>2</formula>
    </cfRule>
  </conditionalFormatting>
  <conditionalFormatting sqref="AC12">
    <cfRule type="expression" dxfId="41" priority="32" stopIfTrue="1">
      <formula>$AC$13=2</formula>
    </cfRule>
  </conditionalFormatting>
  <conditionalFormatting sqref="AC13">
    <cfRule type="expression" dxfId="40" priority="31" stopIfTrue="1">
      <formula>$AC$12=2</formula>
    </cfRule>
  </conditionalFormatting>
  <conditionalFormatting sqref="AC12:AC13">
    <cfRule type="expression" dxfId="39" priority="26" stopIfTrue="1">
      <formula>OR(SUM($AC$12:$AC$13) &gt; 3,OR($AC$12&lt; 0,$AC$13 &lt; 0), OR($AC$12&gt;2, $AC$13&gt;2))</formula>
    </cfRule>
  </conditionalFormatting>
  <conditionalFormatting sqref="AG12:AG13">
    <cfRule type="cellIs" dxfId="38" priority="29" stopIfTrue="1" operator="equal">
      <formula>2</formula>
    </cfRule>
  </conditionalFormatting>
  <conditionalFormatting sqref="AG12">
    <cfRule type="expression" dxfId="37" priority="28" stopIfTrue="1">
      <formula>$AG$13=2</formula>
    </cfRule>
  </conditionalFormatting>
  <conditionalFormatting sqref="AG13">
    <cfRule type="expression" dxfId="36" priority="27" stopIfTrue="1">
      <formula>$AG$12=2</formula>
    </cfRule>
  </conditionalFormatting>
  <conditionalFormatting sqref="AG12:AG13">
    <cfRule type="expression" dxfId="35" priority="22" stopIfTrue="1">
      <formula>OR(SUM($AG$12:$AG$13) &gt; 3,OR($AG$12&lt; 0,$AG$13 &lt; 0), OR($AG$12&gt;2, $AG$13&gt;2))</formula>
    </cfRule>
  </conditionalFormatting>
  <conditionalFormatting sqref="Y16:Y17">
    <cfRule type="cellIs" dxfId="34" priority="25" stopIfTrue="1" operator="equal">
      <formula>2</formula>
    </cfRule>
  </conditionalFormatting>
  <conditionalFormatting sqref="Y16">
    <cfRule type="expression" dxfId="33" priority="24" stopIfTrue="1">
      <formula>$Y$17=2</formula>
    </cfRule>
  </conditionalFormatting>
  <conditionalFormatting sqref="Y17">
    <cfRule type="expression" dxfId="32" priority="23" stopIfTrue="1">
      <formula>$Y$16=2</formula>
    </cfRule>
  </conditionalFormatting>
  <conditionalFormatting sqref="Y16:Y17">
    <cfRule type="expression" dxfId="31" priority="18" stopIfTrue="1">
      <formula>OR(SUM($Y$16:$Y$17) &gt; 3,OR($Y$16&lt; 0,$Y$17 &lt; 0), OR($Y$16&gt;2, $Y$17&gt;2))</formula>
    </cfRule>
  </conditionalFormatting>
  <conditionalFormatting sqref="AC16:AC17">
    <cfRule type="cellIs" dxfId="30" priority="21" stopIfTrue="1" operator="equal">
      <formula>2</formula>
    </cfRule>
  </conditionalFormatting>
  <conditionalFormatting sqref="AC16">
    <cfRule type="expression" dxfId="29" priority="20" stopIfTrue="1">
      <formula>$AC$17=2</formula>
    </cfRule>
  </conditionalFormatting>
  <conditionalFormatting sqref="AC17">
    <cfRule type="expression" dxfId="28" priority="19" stopIfTrue="1">
      <formula>$AC$16=2</formula>
    </cfRule>
  </conditionalFormatting>
  <conditionalFormatting sqref="AC16:AC17">
    <cfRule type="expression" dxfId="27" priority="14" stopIfTrue="1">
      <formula>OR(SUM($AC$16:$AC$17) &gt; 3,OR($AC$16&lt; 0,$AC$17 &lt; 0), OR($AC$16&gt;2, $AC$17&gt;2))</formula>
    </cfRule>
  </conditionalFormatting>
  <conditionalFormatting sqref="AG16:AG17">
    <cfRule type="cellIs" dxfId="26" priority="17" stopIfTrue="1" operator="equal">
      <formula>2</formula>
    </cfRule>
  </conditionalFormatting>
  <conditionalFormatting sqref="AG16">
    <cfRule type="expression" dxfId="25" priority="16" stopIfTrue="1">
      <formula>$AG$17=2</formula>
    </cfRule>
  </conditionalFormatting>
  <conditionalFormatting sqref="AG17">
    <cfRule type="expression" dxfId="24" priority="15" stopIfTrue="1">
      <formula>$AG$16=2</formula>
    </cfRule>
  </conditionalFormatting>
  <conditionalFormatting sqref="AG16:AG17">
    <cfRule type="expression" dxfId="23" priority="10" stopIfTrue="1">
      <formula>OR(SUM($AG$16:$AG$17) &gt; 3,OR($AG$16&lt; 0,$AG$17 &lt; 0), OR($AG$16&gt;2, $AG$17&gt;2))</formula>
    </cfRule>
  </conditionalFormatting>
  <conditionalFormatting sqref="Y20:Y21">
    <cfRule type="cellIs" dxfId="22" priority="13" stopIfTrue="1" operator="equal">
      <formula>2</formula>
    </cfRule>
  </conditionalFormatting>
  <conditionalFormatting sqref="Y20">
    <cfRule type="expression" dxfId="21" priority="12" stopIfTrue="1">
      <formula>$Y$21=2</formula>
    </cfRule>
  </conditionalFormatting>
  <conditionalFormatting sqref="Y21">
    <cfRule type="expression" dxfId="20" priority="11" stopIfTrue="1">
      <formula>$Y$20=2</formula>
    </cfRule>
  </conditionalFormatting>
  <conditionalFormatting sqref="Y20:Y21">
    <cfRule type="expression" dxfId="19" priority="6" stopIfTrue="1">
      <formula>OR(SUM($Y$20:$Y$21) &gt; 3,OR($Y$20&lt; 0,$Y$21 &lt; 0), OR($Y$20&gt;2, $Y$21&gt;2))</formula>
    </cfRule>
  </conditionalFormatting>
  <conditionalFormatting sqref="AC20:AC21">
    <cfRule type="cellIs" dxfId="18" priority="9" stopIfTrue="1" operator="equal">
      <formula>2</formula>
    </cfRule>
  </conditionalFormatting>
  <conditionalFormatting sqref="AC20">
    <cfRule type="expression" dxfId="17" priority="8" stopIfTrue="1">
      <formula>$AC$21=2</formula>
    </cfRule>
  </conditionalFormatting>
  <conditionalFormatting sqref="AC21">
    <cfRule type="expression" dxfId="16" priority="7" stopIfTrue="1">
      <formula>$AC$20=2</formula>
    </cfRule>
  </conditionalFormatting>
  <conditionalFormatting sqref="AC20:AC21">
    <cfRule type="expression" dxfId="15" priority="2" stopIfTrue="1">
      <formula>OR(SUM($AC$20:$AC$21) &gt; 3,OR($AC$20&lt; 0,$AC$21 &lt; 0), OR($AC$20&gt;2, $AC$21&gt;2))</formula>
    </cfRule>
  </conditionalFormatting>
  <conditionalFormatting sqref="AG20:AG21">
    <cfRule type="cellIs" dxfId="14" priority="5" stopIfTrue="1" operator="equal">
      <formula>2</formula>
    </cfRule>
  </conditionalFormatting>
  <conditionalFormatting sqref="AG20">
    <cfRule type="expression" dxfId="13" priority="4" stopIfTrue="1">
      <formula>$AG$21=2</formula>
    </cfRule>
  </conditionalFormatting>
  <conditionalFormatting sqref="AG21">
    <cfRule type="expression" dxfId="12" priority="3" stopIfTrue="1">
      <formula>$AG$20=2</formula>
    </cfRule>
  </conditionalFormatting>
  <conditionalFormatting sqref="AG20:AG21">
    <cfRule type="expression" dxfId="11" priority="1" stopIfTrue="1">
      <formula>OR(SUM($AG$20:$AG$21) &gt; 3,OR($AG$20&lt; 0,$AG$21 &lt; 0), OR($AG$20&gt;2, $AG$21&gt;2))</formula>
    </cfRule>
  </conditionalFormatting>
  <conditionalFormatting sqref="M13:M18">
    <cfRule type="cellIs" dxfId="10" priority="35400" stopIfTrue="1" operator="equal">
      <formula>5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D7A2-2869-CB4F-B459-F8E6C06CBC09}">
  <sheetPr codeName="Sheet2"/>
  <dimension ref="A1:DV129"/>
  <sheetViews>
    <sheetView tabSelected="1" zoomScale="75" zoomScaleNormal="75" workbookViewId="0">
      <selection activeCell="O2" sqref="O2"/>
    </sheetView>
  </sheetViews>
  <sheetFormatPr baseColWidth="10" defaultColWidth="8.33203125" defaultRowHeight="50" customHeight="1" x14ac:dyDescent="0.2"/>
  <cols>
    <col min="1" max="1" width="8.33203125" customWidth="1"/>
    <col min="6" max="6" width="8.33203125" customWidth="1"/>
    <col min="7" max="9" width="8.33203125" style="27"/>
    <col min="10" max="10" width="8.33203125" style="27" customWidth="1"/>
    <col min="11" max="11" width="8.33203125" style="27"/>
    <col min="12" max="21" width="8.33203125" style="27" customWidth="1"/>
    <col min="22" max="22" width="8.33203125" style="27"/>
    <col min="23" max="23" width="8.33203125" style="27" customWidth="1"/>
    <col min="24" max="28" width="8.33203125" style="27"/>
    <col min="29" max="29" width="8.33203125" style="27" customWidth="1"/>
    <col min="30" max="40" width="8.33203125" style="27"/>
    <col min="41" max="41" width="8.33203125" style="27" customWidth="1"/>
    <col min="42" max="16384" width="8.33203125" style="27"/>
  </cols>
  <sheetData>
    <row r="1" spans="1:126" s="22" customFormat="1" ht="112" customHeight="1" thickBot="1" x14ac:dyDescent="0.25">
      <c r="A1" s="140" t="str">
        <f>Groupstage!A1</f>
        <v>[Season] Tournament, [Date], [Location]</v>
      </c>
      <c r="B1" s="140"/>
      <c r="C1" s="140"/>
      <c r="D1" s="140"/>
      <c r="E1" s="140"/>
      <c r="F1" s="140"/>
      <c r="G1" s="113"/>
      <c r="H1" s="113"/>
      <c r="I1" s="113"/>
      <c r="J1" s="113"/>
      <c r="K1" s="113"/>
      <c r="L1" s="113"/>
      <c r="M1" s="113"/>
      <c r="N1" s="113"/>
      <c r="O1" s="140"/>
      <c r="P1" s="140"/>
      <c r="Q1" s="140"/>
      <c r="R1" s="140"/>
      <c r="S1" s="140"/>
      <c r="T1" s="140"/>
      <c r="U1" s="140"/>
      <c r="V1" s="140"/>
      <c r="W1" s="140"/>
    </row>
    <row r="2" spans="1:126" customFormat="1" ht="50" customHeight="1" thickBot="1" x14ac:dyDescent="0.25">
      <c r="A2" s="22"/>
      <c r="B2" s="22"/>
      <c r="C2" s="22"/>
      <c r="D2" s="22"/>
      <c r="E2" s="22"/>
      <c r="F2" s="21"/>
      <c r="G2" s="192" t="s">
        <v>23</v>
      </c>
      <c r="H2" s="193"/>
      <c r="I2" s="193"/>
      <c r="J2" s="194"/>
      <c r="K2" s="21"/>
      <c r="L2" s="21"/>
      <c r="M2" s="21"/>
      <c r="N2" s="21"/>
      <c r="O2" s="21"/>
      <c r="P2" s="115" t="s">
        <v>51</v>
      </c>
      <c r="Q2" s="116"/>
      <c r="R2" s="116"/>
      <c r="S2" s="117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</row>
    <row r="3" spans="1:126" customFormat="1" ht="50" customHeight="1" x14ac:dyDescent="0.2">
      <c r="A3" s="22"/>
      <c r="B3" s="22"/>
      <c r="C3" s="22"/>
      <c r="D3" s="22"/>
      <c r="E3" s="22"/>
      <c r="F3" s="21"/>
      <c r="G3" s="207" t="s">
        <v>28</v>
      </c>
      <c r="H3" s="205"/>
      <c r="I3" s="204" t="s">
        <v>29</v>
      </c>
      <c r="J3" s="205"/>
      <c r="K3" s="206" t="s">
        <v>30</v>
      </c>
      <c r="L3" s="205"/>
      <c r="M3" s="206" t="s">
        <v>33</v>
      </c>
      <c r="N3" s="208"/>
      <c r="O3" s="17"/>
      <c r="P3" s="209"/>
      <c r="Q3" s="71"/>
      <c r="R3" s="71"/>
      <c r="S3" s="72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</row>
    <row r="4" spans="1:126" customFormat="1" ht="50" customHeight="1" x14ac:dyDescent="0.2">
      <c r="A4" s="22"/>
      <c r="B4" s="22"/>
      <c r="C4" s="22"/>
      <c r="D4" s="22"/>
      <c r="E4" s="22"/>
      <c r="F4" s="21"/>
      <c r="G4" s="134" t="s">
        <v>1</v>
      </c>
      <c r="H4" s="135"/>
      <c r="I4" s="136" t="s">
        <v>43</v>
      </c>
      <c r="J4" s="137"/>
      <c r="K4" s="130">
        <v>10</v>
      </c>
      <c r="L4" s="131"/>
      <c r="M4" s="132" t="s">
        <v>36</v>
      </c>
      <c r="N4" s="133"/>
      <c r="O4" s="21"/>
      <c r="P4" s="47"/>
      <c r="Q4" s="96" t="s">
        <v>45</v>
      </c>
      <c r="R4" s="97"/>
      <c r="S4" s="35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</row>
    <row r="5" spans="1:126" customFormat="1" ht="50" customHeight="1" x14ac:dyDescent="0.2">
      <c r="A5" s="22"/>
      <c r="B5" s="22"/>
      <c r="C5" s="37"/>
      <c r="D5" s="22"/>
      <c r="E5" s="22"/>
      <c r="F5" s="21"/>
      <c r="G5" s="134" t="s">
        <v>2</v>
      </c>
      <c r="H5" s="135"/>
      <c r="I5" s="136" t="s">
        <v>44</v>
      </c>
      <c r="J5" s="137"/>
      <c r="K5" s="130">
        <v>8</v>
      </c>
      <c r="L5" s="131"/>
      <c r="M5" s="132" t="s">
        <v>36</v>
      </c>
      <c r="N5" s="133"/>
      <c r="O5" s="21"/>
      <c r="P5" s="47"/>
      <c r="Q5" s="141" t="s">
        <v>46</v>
      </c>
      <c r="R5" s="142"/>
      <c r="S5" s="36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</row>
    <row r="6" spans="1:126" customFormat="1" ht="50" customHeight="1" x14ac:dyDescent="0.2">
      <c r="A6" s="22"/>
      <c r="B6" s="22"/>
      <c r="C6" s="22"/>
      <c r="D6" s="22"/>
      <c r="E6" s="22"/>
      <c r="F6" s="21"/>
      <c r="G6" s="134" t="s">
        <v>3</v>
      </c>
      <c r="H6" s="135"/>
      <c r="I6" s="138" t="str">
        <f>IF($S$4=$S$5,$Q$4,INDEX($Q$4:$Q$5,MATCH(MAX($S$4:$S$5),$S$4:$S$5,0)))</f>
        <v>Name 3</v>
      </c>
      <c r="J6" s="137"/>
      <c r="K6" s="130">
        <v>7</v>
      </c>
      <c r="L6" s="131"/>
      <c r="M6" s="139">
        <f>INDEX($S$4:$S$5,MATCH($I$6,$Q$4:$Q$5,0))</f>
        <v>0</v>
      </c>
      <c r="N6" s="133"/>
      <c r="O6" s="21"/>
      <c r="P6" s="47"/>
      <c r="Q6" s="55"/>
      <c r="R6" s="55"/>
      <c r="S6" s="68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</row>
    <row r="7" spans="1:126" customFormat="1" ht="50" customHeight="1" x14ac:dyDescent="0.2">
      <c r="A7" s="22"/>
      <c r="B7" s="22"/>
      <c r="C7" s="22"/>
      <c r="D7" s="22"/>
      <c r="E7" s="22"/>
      <c r="F7" s="21"/>
      <c r="G7" s="134" t="s">
        <v>4</v>
      </c>
      <c r="H7" s="135"/>
      <c r="I7" s="138" t="str">
        <f>IF($I$6=$Q$4, $Q$5,$Q$4)</f>
        <v>Name 4</v>
      </c>
      <c r="J7" s="137"/>
      <c r="K7" s="130">
        <v>7</v>
      </c>
      <c r="L7" s="131"/>
      <c r="M7" s="139">
        <f>INDEX($S$4:$S$5,MATCH($I$7,$Q$4:$Q$5,0))</f>
        <v>0</v>
      </c>
      <c r="N7" s="133"/>
      <c r="O7" s="21"/>
      <c r="P7" s="47"/>
      <c r="Q7" s="96" t="s">
        <v>47</v>
      </c>
      <c r="R7" s="97"/>
      <c r="S7" s="35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</row>
    <row r="8" spans="1:126" customFormat="1" ht="50" customHeight="1" thickBot="1" x14ac:dyDescent="0.25">
      <c r="A8" s="22"/>
      <c r="B8" s="22"/>
      <c r="C8" s="22"/>
      <c r="D8" s="22"/>
      <c r="E8" s="22"/>
      <c r="F8" s="21"/>
      <c r="G8" s="87" t="s">
        <v>37</v>
      </c>
      <c r="H8" s="88"/>
      <c r="I8" s="118" t="str">
        <f>IF($S$7=$S$8,$Q$7,INDEX($Q$7:$Q$8,MATCH(MAX($S$7:$S$8),$S$7:$S$8,0)))</f>
        <v>Name 5</v>
      </c>
      <c r="J8" s="119"/>
      <c r="K8" s="120">
        <v>4</v>
      </c>
      <c r="L8" s="121"/>
      <c r="M8" s="122">
        <f>INDEX($S$7:$S$8,MATCH($I$8,$Q$7:$Q$8,0))</f>
        <v>0</v>
      </c>
      <c r="N8" s="123"/>
      <c r="O8" s="21"/>
      <c r="P8" s="56"/>
      <c r="Q8" s="98" t="s">
        <v>48</v>
      </c>
      <c r="R8" s="99"/>
      <c r="S8" s="45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</row>
    <row r="9" spans="1:126" customFormat="1" ht="50" customHeight="1" thickBot="1" x14ac:dyDescent="0.25">
      <c r="A9" s="22"/>
      <c r="B9" s="22"/>
      <c r="C9" s="22"/>
      <c r="D9" s="22"/>
      <c r="E9" s="22"/>
      <c r="F9" s="21"/>
      <c r="G9" s="78" t="s">
        <v>38</v>
      </c>
      <c r="H9" s="79"/>
      <c r="I9" s="124" t="str">
        <f>IF($I$8=$Q$7, $Q$8,$Q$7)</f>
        <v>Name 6</v>
      </c>
      <c r="J9" s="125"/>
      <c r="K9" s="126">
        <v>4</v>
      </c>
      <c r="L9" s="127"/>
      <c r="M9" s="128">
        <f>INDEX($S$7:$S$8,MATCH($I$9,$Q$7:$Q$8,0))</f>
        <v>0</v>
      </c>
      <c r="N9" s="129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</row>
    <row r="10" spans="1:126" customFormat="1" ht="50" customHeight="1" x14ac:dyDescent="0.2">
      <c r="A10" s="22"/>
      <c r="B10" s="22"/>
      <c r="C10" s="22"/>
      <c r="D10" s="22"/>
      <c r="E10" s="22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</row>
    <row r="11" spans="1:126" customFormat="1" ht="50" customHeight="1" x14ac:dyDescent="0.2">
      <c r="A11" s="22"/>
      <c r="B11" s="22"/>
      <c r="C11" s="22"/>
      <c r="D11" s="22"/>
      <c r="E11" s="22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</row>
    <row r="12" spans="1:126" customFormat="1" ht="50" customHeight="1" thickBot="1" x14ac:dyDescent="0.25">
      <c r="A12" s="22"/>
      <c r="B12" s="22"/>
      <c r="C12" s="22"/>
      <c r="D12" s="22"/>
      <c r="E12" s="22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</row>
    <row r="13" spans="1:126" ht="50" customHeight="1" x14ac:dyDescent="0.2">
      <c r="A13" s="22"/>
      <c r="B13" s="22"/>
      <c r="C13" s="22"/>
      <c r="D13" s="22"/>
      <c r="E13" s="22"/>
      <c r="F13" s="21"/>
      <c r="G13" s="21"/>
      <c r="H13" s="21"/>
      <c r="I13" s="21"/>
      <c r="J13" s="21"/>
      <c r="K13" s="21"/>
      <c r="L13" s="210"/>
      <c r="M13" s="71"/>
      <c r="N13" s="72"/>
      <c r="O13" s="73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70"/>
      <c r="CT13" s="70"/>
      <c r="CU13" s="70"/>
      <c r="CV13" s="70"/>
      <c r="CW13" s="70"/>
      <c r="CX13" s="70"/>
      <c r="CY13" s="70"/>
      <c r="CZ13" s="70"/>
      <c r="DA13" s="70"/>
      <c r="DB13" s="70"/>
      <c r="DC13" s="70"/>
      <c r="DD13" s="70"/>
      <c r="DE13" s="70"/>
      <c r="DF13" s="70"/>
      <c r="DG13" s="70"/>
      <c r="DH13" s="70"/>
      <c r="DI13" s="70"/>
      <c r="DJ13" s="70"/>
      <c r="DK13" s="70"/>
      <c r="DL13" s="70"/>
      <c r="DM13" s="70"/>
      <c r="DN13" s="70"/>
      <c r="DO13" s="70"/>
      <c r="DP13" s="70"/>
      <c r="DQ13" s="70"/>
      <c r="DR13" s="70"/>
      <c r="DS13" s="70"/>
      <c r="DT13" s="70"/>
      <c r="DU13" s="70"/>
      <c r="DV13" s="70"/>
    </row>
    <row r="14" spans="1:126" ht="50" customHeight="1" thickBot="1" x14ac:dyDescent="0.25">
      <c r="A14" s="22"/>
      <c r="B14" s="22"/>
      <c r="C14" s="22"/>
      <c r="D14" s="22"/>
      <c r="E14" s="22"/>
      <c r="F14" s="21"/>
      <c r="G14" s="21"/>
      <c r="H14" s="21"/>
      <c r="I14" s="21"/>
      <c r="J14" s="21"/>
      <c r="K14" s="21"/>
      <c r="L14" s="56"/>
      <c r="M14" s="57"/>
      <c r="N14" s="69"/>
      <c r="O14" s="77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</row>
    <row r="15" spans="1:126" ht="50" customHeight="1" x14ac:dyDescent="0.2">
      <c r="A15" s="22"/>
      <c r="B15" s="22"/>
      <c r="C15" s="22"/>
      <c r="D15" s="22"/>
      <c r="E15" s="22"/>
      <c r="F15" s="21"/>
      <c r="G15" s="21"/>
      <c r="H15" s="21"/>
      <c r="I15" s="21"/>
      <c r="J15" s="21"/>
      <c r="K15" s="21"/>
      <c r="L15" s="21"/>
      <c r="M15" s="21"/>
      <c r="N15" s="21"/>
      <c r="O15" s="74"/>
      <c r="P15" s="76"/>
      <c r="Q15" s="210"/>
      <c r="R15" s="71"/>
      <c r="S15" s="72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70"/>
      <c r="CT15" s="70"/>
      <c r="CU15" s="70"/>
      <c r="CV15" s="70"/>
      <c r="CW15" s="70"/>
      <c r="CX15" s="70"/>
      <c r="CY15" s="70"/>
      <c r="CZ15" s="70"/>
      <c r="DA15" s="70"/>
      <c r="DB15" s="70"/>
      <c r="DC15" s="70"/>
      <c r="DD15" s="70"/>
      <c r="DE15" s="70"/>
      <c r="DF15" s="70"/>
      <c r="DG15" s="70"/>
      <c r="DH15" s="70"/>
      <c r="DI15" s="70"/>
      <c r="DJ15" s="70"/>
      <c r="DK15" s="70"/>
      <c r="DL15" s="70"/>
      <c r="DM15" s="70"/>
      <c r="DN15" s="70"/>
      <c r="DO15" s="70"/>
      <c r="DP15" s="70"/>
      <c r="DQ15" s="70"/>
      <c r="DR15" s="70"/>
      <c r="DS15" s="70"/>
      <c r="DT15" s="70"/>
      <c r="DU15" s="70"/>
      <c r="DV15" s="70"/>
    </row>
    <row r="16" spans="1:126" ht="50" customHeight="1" thickBot="1" x14ac:dyDescent="0.25">
      <c r="A16" s="22"/>
      <c r="B16" s="22"/>
      <c r="C16" s="22"/>
      <c r="D16" s="22"/>
      <c r="E16" s="22"/>
      <c r="F16" s="21"/>
      <c r="G16" s="21"/>
      <c r="H16" s="21"/>
      <c r="I16" s="21"/>
      <c r="J16" s="21"/>
      <c r="K16" s="21"/>
      <c r="L16" s="21"/>
      <c r="M16" s="21"/>
      <c r="N16" s="21"/>
      <c r="O16" s="74"/>
      <c r="P16" s="21"/>
      <c r="Q16" s="56"/>
      <c r="R16" s="57"/>
      <c r="S16" s="69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70"/>
      <c r="CT16" s="70"/>
      <c r="CU16" s="70"/>
      <c r="CV16" s="70"/>
      <c r="CW16" s="70"/>
      <c r="CX16" s="70"/>
      <c r="CY16" s="70"/>
      <c r="CZ16" s="70"/>
      <c r="DA16" s="70"/>
      <c r="DB16" s="70"/>
      <c r="DC16" s="70"/>
      <c r="DD16" s="70"/>
      <c r="DE16" s="70"/>
      <c r="DF16" s="70"/>
      <c r="DG16" s="70"/>
      <c r="DH16" s="70"/>
      <c r="DI16" s="70"/>
      <c r="DJ16" s="70"/>
      <c r="DK16" s="70"/>
      <c r="DL16" s="70"/>
      <c r="DM16" s="70"/>
      <c r="DN16" s="70"/>
      <c r="DO16" s="70"/>
      <c r="DP16" s="70"/>
      <c r="DQ16" s="70"/>
      <c r="DR16" s="70"/>
      <c r="DS16" s="70"/>
      <c r="DT16" s="70"/>
      <c r="DU16" s="70"/>
      <c r="DV16" s="70"/>
    </row>
    <row r="17" spans="1:126" ht="50" customHeight="1" x14ac:dyDescent="0.2">
      <c r="A17" s="22"/>
      <c r="B17" s="22"/>
      <c r="C17" s="22"/>
      <c r="D17" s="22"/>
      <c r="E17" s="22"/>
      <c r="F17" s="21"/>
      <c r="G17" s="21"/>
      <c r="H17" s="21"/>
      <c r="I17" s="21"/>
      <c r="J17" s="21"/>
      <c r="K17" s="21"/>
      <c r="L17" s="210"/>
      <c r="M17" s="71"/>
      <c r="N17" s="72"/>
      <c r="O17" s="75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70"/>
      <c r="CT17" s="70"/>
      <c r="CU17" s="70"/>
      <c r="CV17" s="70"/>
      <c r="CW17" s="70"/>
      <c r="CX17" s="70"/>
      <c r="CY17" s="70"/>
      <c r="CZ17" s="70"/>
      <c r="DA17" s="70"/>
      <c r="DB17" s="70"/>
      <c r="DC17" s="70"/>
      <c r="DD17" s="70"/>
      <c r="DE17" s="70"/>
      <c r="DF17" s="70"/>
      <c r="DG17" s="70"/>
      <c r="DH17" s="70"/>
      <c r="DI17" s="70"/>
      <c r="DJ17" s="70"/>
      <c r="DK17" s="70"/>
      <c r="DL17" s="70"/>
      <c r="DM17" s="70"/>
      <c r="DN17" s="70"/>
      <c r="DO17" s="70"/>
      <c r="DP17" s="70"/>
      <c r="DQ17" s="70"/>
      <c r="DR17" s="70"/>
      <c r="DS17" s="70"/>
      <c r="DT17" s="70"/>
      <c r="DU17" s="70"/>
      <c r="DV17" s="70"/>
    </row>
    <row r="18" spans="1:126" ht="50" customHeight="1" thickBot="1" x14ac:dyDescent="0.25">
      <c r="A18" s="22"/>
      <c r="B18" s="22"/>
      <c r="C18" s="22"/>
      <c r="D18" s="22"/>
      <c r="E18" s="22"/>
      <c r="F18" s="21"/>
      <c r="G18" s="21"/>
      <c r="H18" s="21"/>
      <c r="I18" s="21"/>
      <c r="J18" s="21"/>
      <c r="K18" s="21"/>
      <c r="L18" s="56"/>
      <c r="M18" s="57"/>
      <c r="N18" s="69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70"/>
      <c r="CT18" s="70"/>
      <c r="CU18" s="70"/>
      <c r="CV18" s="70"/>
      <c r="CW18" s="70"/>
      <c r="CX18" s="70"/>
      <c r="CY18" s="70"/>
      <c r="CZ18" s="70"/>
      <c r="DA18" s="70"/>
      <c r="DB18" s="70"/>
      <c r="DC18" s="70"/>
      <c r="DD18" s="70"/>
      <c r="DE18" s="70"/>
      <c r="DF18" s="70"/>
      <c r="DG18" s="70"/>
      <c r="DH18" s="70"/>
      <c r="DI18" s="70"/>
      <c r="DJ18" s="70"/>
      <c r="DK18" s="70"/>
      <c r="DL18" s="70"/>
      <c r="DM18" s="70"/>
      <c r="DN18" s="70"/>
      <c r="DO18" s="70"/>
      <c r="DP18" s="70"/>
      <c r="DQ18" s="70"/>
      <c r="DR18" s="70"/>
      <c r="DS18" s="70"/>
      <c r="DT18" s="70"/>
      <c r="DU18" s="70"/>
      <c r="DV18" s="70"/>
    </row>
    <row r="19" spans="1:126" ht="50" customHeight="1" x14ac:dyDescent="0.2">
      <c r="A19" s="22"/>
      <c r="B19" s="22"/>
      <c r="C19" s="22"/>
      <c r="D19" s="22"/>
      <c r="E19" s="22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70"/>
      <c r="CT19" s="70"/>
      <c r="CU19" s="70"/>
      <c r="CV19" s="70"/>
      <c r="CW19" s="70"/>
      <c r="CX19" s="70"/>
      <c r="CY19" s="70"/>
      <c r="CZ19" s="70"/>
      <c r="DA19" s="70"/>
      <c r="DB19" s="70"/>
      <c r="DC19" s="70"/>
      <c r="DD19" s="70"/>
      <c r="DE19" s="70"/>
      <c r="DF19" s="70"/>
      <c r="DG19" s="70"/>
      <c r="DH19" s="70"/>
      <c r="DI19" s="70"/>
      <c r="DJ19" s="70"/>
      <c r="DK19" s="70"/>
      <c r="DL19" s="70"/>
      <c r="DM19" s="70"/>
      <c r="DN19" s="70"/>
      <c r="DO19" s="70"/>
      <c r="DP19" s="70"/>
      <c r="DQ19" s="70"/>
      <c r="DR19" s="70"/>
      <c r="DS19" s="70"/>
      <c r="DT19" s="70"/>
      <c r="DU19" s="70"/>
      <c r="DV19" s="70"/>
    </row>
    <row r="20" spans="1:126" ht="50" customHeight="1" x14ac:dyDescent="0.2">
      <c r="A20" s="37"/>
      <c r="B20" s="38"/>
      <c r="C20" s="38"/>
      <c r="D20" s="38"/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70"/>
      <c r="CT20" s="70"/>
      <c r="CU20" s="70"/>
      <c r="CV20" s="70"/>
      <c r="CW20" s="70"/>
      <c r="CX20" s="70"/>
      <c r="CY20" s="70"/>
      <c r="CZ20" s="70"/>
      <c r="DA20" s="70"/>
      <c r="DB20" s="70"/>
      <c r="DC20" s="70"/>
      <c r="DD20" s="70"/>
      <c r="DE20" s="70"/>
      <c r="DF20" s="70"/>
      <c r="DG20" s="70"/>
      <c r="DH20" s="70"/>
      <c r="DI20" s="70"/>
      <c r="DJ20" s="70"/>
      <c r="DK20" s="70"/>
      <c r="DL20" s="70"/>
      <c r="DM20" s="70"/>
      <c r="DN20" s="70"/>
      <c r="DO20" s="70"/>
      <c r="DP20" s="70"/>
      <c r="DQ20" s="70"/>
      <c r="DR20" s="70"/>
      <c r="DS20" s="70"/>
      <c r="DT20" s="70"/>
      <c r="DU20" s="70"/>
      <c r="DV20" s="70"/>
    </row>
    <row r="21" spans="1:126" ht="50" customHeight="1" x14ac:dyDescent="0.2">
      <c r="A21" s="37"/>
      <c r="B21" s="39"/>
      <c r="C21" s="39"/>
      <c r="D21" s="40"/>
      <c r="E21" s="4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70"/>
      <c r="CT21" s="70"/>
      <c r="CU21" s="70"/>
      <c r="CV21" s="70"/>
      <c r="CW21" s="70"/>
      <c r="CX21" s="70"/>
      <c r="CY21" s="70"/>
      <c r="CZ21" s="70"/>
      <c r="DA21" s="70"/>
      <c r="DB21" s="70"/>
      <c r="DC21" s="70"/>
      <c r="DD21" s="70"/>
      <c r="DE21" s="70"/>
      <c r="DF21" s="70"/>
      <c r="DG21" s="70"/>
      <c r="DH21" s="70"/>
      <c r="DI21" s="70"/>
      <c r="DJ21" s="70"/>
      <c r="DK21" s="70"/>
      <c r="DL21" s="70"/>
      <c r="DM21" s="70"/>
      <c r="DN21" s="70"/>
      <c r="DO21" s="70"/>
      <c r="DP21" s="70"/>
      <c r="DQ21" s="70"/>
      <c r="DR21" s="70"/>
      <c r="DS21" s="70"/>
      <c r="DT21" s="70"/>
      <c r="DU21" s="70"/>
      <c r="DV21" s="70"/>
    </row>
    <row r="22" spans="1:126" ht="50" customHeight="1" x14ac:dyDescent="0.2">
      <c r="A22" s="37"/>
      <c r="B22" s="39"/>
      <c r="C22" s="39"/>
      <c r="D22" s="40"/>
      <c r="E22" s="4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70"/>
      <c r="CT22" s="70"/>
      <c r="CU22" s="70"/>
      <c r="CV22" s="70"/>
      <c r="CW22" s="70"/>
      <c r="CX22" s="70"/>
      <c r="CY22" s="70"/>
      <c r="CZ22" s="70"/>
      <c r="DA22" s="70"/>
      <c r="DB22" s="70"/>
      <c r="DC22" s="70"/>
      <c r="DD22" s="70"/>
      <c r="DE22" s="70"/>
      <c r="DF22" s="70"/>
      <c r="DG22" s="70"/>
      <c r="DH22" s="70"/>
      <c r="DI22" s="70"/>
      <c r="DJ22" s="70"/>
      <c r="DK22" s="70"/>
      <c r="DL22" s="70"/>
      <c r="DM22" s="70"/>
      <c r="DN22" s="70"/>
      <c r="DO22" s="70"/>
      <c r="DP22" s="70"/>
      <c r="DQ22" s="70"/>
      <c r="DR22" s="70"/>
      <c r="DS22" s="70"/>
      <c r="DT22" s="70"/>
      <c r="DU22" s="70"/>
      <c r="DV22" s="70"/>
    </row>
    <row r="23" spans="1:126" ht="50" customHeight="1" x14ac:dyDescent="0.2">
      <c r="A23" s="37"/>
      <c r="B23" s="38"/>
      <c r="C23" s="38"/>
      <c r="D23" s="38"/>
      <c r="E23" s="4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70"/>
      <c r="CT23" s="70"/>
      <c r="CU23" s="70"/>
      <c r="CV23" s="70"/>
      <c r="CW23" s="70"/>
      <c r="CX23" s="70"/>
      <c r="CY23" s="70"/>
      <c r="CZ23" s="70"/>
      <c r="DA23" s="70"/>
      <c r="DB23" s="70"/>
      <c r="DC23" s="70"/>
      <c r="DD23" s="70"/>
      <c r="DE23" s="70"/>
      <c r="DF23" s="70"/>
      <c r="DG23" s="70"/>
      <c r="DH23" s="70"/>
      <c r="DI23" s="70"/>
      <c r="DJ23" s="70"/>
      <c r="DK23" s="70"/>
      <c r="DL23" s="70"/>
      <c r="DM23" s="70"/>
      <c r="DN23" s="70"/>
      <c r="DO23" s="70"/>
      <c r="DP23" s="70"/>
      <c r="DQ23" s="70"/>
      <c r="DR23" s="70"/>
      <c r="DS23" s="70"/>
      <c r="DT23" s="70"/>
      <c r="DU23" s="70"/>
      <c r="DV23" s="70"/>
    </row>
    <row r="24" spans="1:126" ht="50" customHeight="1" x14ac:dyDescent="0.2">
      <c r="A24" s="22"/>
      <c r="B24" s="22"/>
      <c r="C24" s="22"/>
      <c r="D24" s="22"/>
      <c r="E24" s="2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70"/>
      <c r="CT24" s="70"/>
      <c r="CU24" s="70"/>
      <c r="CV24" s="70"/>
      <c r="CW24" s="70"/>
      <c r="CX24" s="70"/>
      <c r="CY24" s="70"/>
      <c r="CZ24" s="70"/>
      <c r="DA24" s="70"/>
      <c r="DB24" s="70"/>
      <c r="DC24" s="70"/>
      <c r="DD24" s="70"/>
      <c r="DE24" s="70"/>
      <c r="DF24" s="70"/>
      <c r="DG24" s="70"/>
      <c r="DH24" s="70"/>
      <c r="DI24" s="70"/>
      <c r="DJ24" s="70"/>
      <c r="DK24" s="70"/>
      <c r="DL24" s="70"/>
      <c r="DM24" s="70"/>
      <c r="DN24" s="70"/>
      <c r="DO24" s="70"/>
      <c r="DP24" s="70"/>
      <c r="DQ24" s="70"/>
      <c r="DR24" s="70"/>
      <c r="DS24" s="70"/>
      <c r="DT24" s="70"/>
      <c r="DU24" s="70"/>
      <c r="DV24" s="70"/>
    </row>
    <row r="25" spans="1:126" ht="50" customHeight="1" x14ac:dyDescent="0.2">
      <c r="A25" s="22"/>
      <c r="B25" s="22"/>
      <c r="C25" s="22"/>
      <c r="D25" s="22"/>
      <c r="E25" s="2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70"/>
      <c r="CT25" s="70"/>
      <c r="CU25" s="70"/>
      <c r="CV25" s="70"/>
      <c r="CW25" s="70"/>
      <c r="CX25" s="70"/>
      <c r="CY25" s="70"/>
      <c r="CZ25" s="70"/>
      <c r="DA25" s="70"/>
      <c r="DB25" s="70"/>
      <c r="DC25" s="70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70"/>
      <c r="DS25" s="70"/>
      <c r="DT25" s="70"/>
      <c r="DU25" s="70"/>
      <c r="DV25" s="70"/>
    </row>
    <row r="26" spans="1:126" ht="50" customHeight="1" x14ac:dyDescent="0.2">
      <c r="A26" s="22"/>
      <c r="B26" s="22"/>
      <c r="C26" s="22"/>
      <c r="D26" s="22"/>
      <c r="E26" s="24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70"/>
      <c r="CT26" s="70"/>
      <c r="CU26" s="70"/>
      <c r="CV26" s="70"/>
      <c r="CW26" s="70"/>
      <c r="CX26" s="70"/>
      <c r="CY26" s="70"/>
      <c r="CZ26" s="70"/>
      <c r="DA26" s="70"/>
      <c r="DB26" s="70"/>
      <c r="DC26" s="70"/>
      <c r="DD26" s="70"/>
      <c r="DE26" s="70"/>
      <c r="DF26" s="70"/>
      <c r="DG26" s="70"/>
      <c r="DH26" s="70"/>
      <c r="DI26" s="70"/>
      <c r="DJ26" s="70"/>
      <c r="DK26" s="70"/>
      <c r="DL26" s="70"/>
      <c r="DM26" s="70"/>
      <c r="DN26" s="70"/>
      <c r="DO26" s="70"/>
      <c r="DP26" s="70"/>
      <c r="DQ26" s="70"/>
      <c r="DR26" s="70"/>
      <c r="DS26" s="70"/>
      <c r="DT26" s="70"/>
      <c r="DU26" s="70"/>
      <c r="DV26" s="70"/>
    </row>
    <row r="27" spans="1:126" ht="50" customHeight="1" x14ac:dyDescent="0.2">
      <c r="A27" s="22"/>
      <c r="B27" s="22"/>
      <c r="C27" s="22"/>
      <c r="D27" s="22"/>
      <c r="E27" s="24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70"/>
      <c r="CT27" s="70"/>
      <c r="CU27" s="70"/>
      <c r="CV27" s="70"/>
      <c r="CW27" s="70"/>
      <c r="CX27" s="70"/>
      <c r="CY27" s="70"/>
      <c r="CZ27" s="70"/>
      <c r="DA27" s="70"/>
      <c r="DB27" s="70"/>
      <c r="DC27" s="70"/>
      <c r="DD27" s="70"/>
      <c r="DE27" s="70"/>
      <c r="DF27" s="70"/>
      <c r="DG27" s="70"/>
      <c r="DH27" s="70"/>
      <c r="DI27" s="70"/>
      <c r="DJ27" s="70"/>
      <c r="DK27" s="70"/>
      <c r="DL27" s="70"/>
      <c r="DM27" s="70"/>
      <c r="DN27" s="70"/>
      <c r="DO27" s="70"/>
      <c r="DP27" s="70"/>
      <c r="DQ27" s="70"/>
      <c r="DR27" s="70"/>
      <c r="DS27" s="70"/>
      <c r="DT27" s="70"/>
      <c r="DU27" s="70"/>
      <c r="DV27" s="70"/>
    </row>
    <row r="28" spans="1:126" ht="50" customHeight="1" x14ac:dyDescent="0.2">
      <c r="A28" s="22"/>
      <c r="B28" s="22"/>
      <c r="C28" s="22"/>
      <c r="D28" s="22"/>
      <c r="E28" s="24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70"/>
      <c r="CT28" s="70"/>
      <c r="CU28" s="70"/>
      <c r="CV28" s="70"/>
      <c r="CW28" s="70"/>
      <c r="CX28" s="70"/>
      <c r="CY28" s="70"/>
      <c r="CZ28" s="70"/>
      <c r="DA28" s="70"/>
      <c r="DB28" s="70"/>
      <c r="DC28" s="70"/>
      <c r="DD28" s="70"/>
      <c r="DE28" s="70"/>
      <c r="DF28" s="70"/>
      <c r="DG28" s="70"/>
      <c r="DH28" s="70"/>
      <c r="DI28" s="70"/>
      <c r="DJ28" s="70"/>
      <c r="DK28" s="70"/>
      <c r="DL28" s="70"/>
      <c r="DM28" s="70"/>
      <c r="DN28" s="70"/>
      <c r="DO28" s="70"/>
      <c r="DP28" s="70"/>
      <c r="DQ28" s="70"/>
      <c r="DR28" s="70"/>
      <c r="DS28" s="70"/>
      <c r="DT28" s="70"/>
      <c r="DU28" s="70"/>
      <c r="DV28" s="70"/>
    </row>
    <row r="29" spans="1:126" ht="50" customHeight="1" x14ac:dyDescent="0.2">
      <c r="A29" s="22"/>
      <c r="B29" s="22"/>
      <c r="C29" s="22"/>
      <c r="D29" s="22"/>
      <c r="E29" s="24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70"/>
      <c r="CT29" s="70"/>
      <c r="CU29" s="70"/>
      <c r="CV29" s="70"/>
      <c r="CW29" s="70"/>
      <c r="CX29" s="70"/>
      <c r="CY29" s="70"/>
      <c r="CZ29" s="70"/>
      <c r="DA29" s="70"/>
      <c r="DB29" s="70"/>
      <c r="DC29" s="70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</row>
    <row r="30" spans="1:126" ht="50" customHeight="1" x14ac:dyDescent="0.2">
      <c r="A30" s="22"/>
      <c r="B30" s="22"/>
      <c r="C30" s="22"/>
      <c r="D30" s="22"/>
      <c r="E30" s="22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70"/>
      <c r="CT30" s="70"/>
      <c r="CU30" s="70"/>
      <c r="CV30" s="70"/>
      <c r="CW30" s="70"/>
      <c r="CX30" s="70"/>
      <c r="CY30" s="70"/>
      <c r="CZ30" s="70"/>
      <c r="DA30" s="70"/>
      <c r="DB30" s="70"/>
      <c r="DC30" s="70"/>
      <c r="DD30" s="70"/>
      <c r="DE30" s="70"/>
      <c r="DF30" s="70"/>
      <c r="DG30" s="70"/>
      <c r="DH30" s="70"/>
      <c r="DI30" s="70"/>
      <c r="DJ30" s="70"/>
      <c r="DK30" s="70"/>
      <c r="DL30" s="70"/>
      <c r="DM30" s="70"/>
      <c r="DN30" s="70"/>
      <c r="DO30" s="70"/>
      <c r="DP30" s="70"/>
      <c r="DQ30" s="70"/>
      <c r="DR30" s="70"/>
      <c r="DS30" s="70"/>
      <c r="DT30" s="70"/>
      <c r="DU30" s="70"/>
      <c r="DV30" s="70"/>
    </row>
    <row r="31" spans="1:126" ht="50" customHeight="1" x14ac:dyDescent="0.2">
      <c r="A31" s="22"/>
      <c r="B31" s="22"/>
      <c r="C31" s="22"/>
      <c r="D31" s="22"/>
      <c r="E31" s="22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70"/>
      <c r="CT31" s="70"/>
      <c r="CU31" s="70"/>
      <c r="CV31" s="70"/>
      <c r="CW31" s="70"/>
      <c r="CX31" s="70"/>
      <c r="CY31" s="70"/>
      <c r="CZ31" s="70"/>
      <c r="DA31" s="70"/>
      <c r="DB31" s="70"/>
      <c r="DC31" s="70"/>
      <c r="DD31" s="70"/>
      <c r="DE31" s="70"/>
      <c r="DF31" s="70"/>
      <c r="DG31" s="70"/>
      <c r="DH31" s="70"/>
      <c r="DI31" s="70"/>
      <c r="DJ31" s="70"/>
      <c r="DK31" s="70"/>
      <c r="DL31" s="70"/>
      <c r="DM31" s="70"/>
      <c r="DN31" s="70"/>
      <c r="DO31" s="70"/>
      <c r="DP31" s="70"/>
      <c r="DQ31" s="70"/>
      <c r="DR31" s="70"/>
      <c r="DS31" s="70"/>
      <c r="DT31" s="70"/>
      <c r="DU31" s="70"/>
      <c r="DV31" s="70"/>
    </row>
    <row r="32" spans="1:126" ht="50" customHeight="1" x14ac:dyDescent="0.2">
      <c r="A32" s="22"/>
      <c r="B32" s="22"/>
      <c r="C32" s="22"/>
      <c r="D32" s="22"/>
      <c r="E32" s="2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70"/>
      <c r="CT32" s="70"/>
      <c r="CU32" s="70"/>
      <c r="CV32" s="70"/>
      <c r="CW32" s="70"/>
      <c r="CX32" s="70"/>
      <c r="CY32" s="70"/>
      <c r="CZ32" s="70"/>
      <c r="DA32" s="70"/>
      <c r="DB32" s="70"/>
      <c r="DC32" s="70"/>
      <c r="DD32" s="70"/>
      <c r="DE32" s="70"/>
      <c r="DF32" s="70"/>
      <c r="DG32" s="70"/>
      <c r="DH32" s="70"/>
      <c r="DI32" s="70"/>
      <c r="DJ32" s="70"/>
      <c r="DK32" s="70"/>
      <c r="DL32" s="70"/>
      <c r="DM32" s="70"/>
      <c r="DN32" s="70"/>
      <c r="DO32" s="70"/>
      <c r="DP32" s="70"/>
      <c r="DQ32" s="70"/>
      <c r="DR32" s="70"/>
      <c r="DS32" s="70"/>
      <c r="DT32" s="70"/>
      <c r="DU32" s="70"/>
      <c r="DV32" s="70"/>
    </row>
    <row r="33" spans="1:126" ht="50" customHeight="1" x14ac:dyDescent="0.2">
      <c r="A33" s="22"/>
      <c r="B33" s="22"/>
      <c r="C33" s="22"/>
      <c r="D33" s="22"/>
      <c r="E33" s="2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70"/>
      <c r="CT33" s="70"/>
      <c r="CU33" s="70"/>
      <c r="CV33" s="70"/>
      <c r="CW33" s="70"/>
      <c r="CX33" s="70"/>
      <c r="CY33" s="70"/>
      <c r="CZ33" s="70"/>
      <c r="DA33" s="70"/>
      <c r="DB33" s="70"/>
      <c r="DC33" s="70"/>
      <c r="DD33" s="70"/>
      <c r="DE33" s="70"/>
      <c r="DF33" s="70"/>
      <c r="DG33" s="70"/>
      <c r="DH33" s="70"/>
      <c r="DI33" s="70"/>
      <c r="DJ33" s="70"/>
      <c r="DK33" s="70"/>
      <c r="DL33" s="70"/>
      <c r="DM33" s="70"/>
      <c r="DN33" s="70"/>
      <c r="DO33" s="70"/>
      <c r="DP33" s="70"/>
      <c r="DQ33" s="70"/>
      <c r="DR33" s="70"/>
      <c r="DS33" s="70"/>
      <c r="DT33" s="70"/>
      <c r="DU33" s="70"/>
      <c r="DV33" s="70"/>
    </row>
    <row r="34" spans="1:126" ht="50" customHeight="1" x14ac:dyDescent="0.2">
      <c r="A34" s="22"/>
      <c r="B34" s="22"/>
      <c r="C34" s="22"/>
      <c r="D34" s="22"/>
      <c r="E34" s="2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70"/>
      <c r="CT34" s="70"/>
      <c r="CU34" s="70"/>
      <c r="CV34" s="70"/>
      <c r="CW34" s="70"/>
      <c r="CX34" s="70"/>
      <c r="CY34" s="70"/>
      <c r="CZ34" s="70"/>
      <c r="DA34" s="70"/>
      <c r="DB34" s="70"/>
      <c r="DC34" s="70"/>
      <c r="DD34" s="70"/>
      <c r="DE34" s="70"/>
      <c r="DF34" s="70"/>
      <c r="DG34" s="70"/>
      <c r="DH34" s="70"/>
      <c r="DI34" s="70"/>
      <c r="DJ34" s="70"/>
      <c r="DK34" s="70"/>
      <c r="DL34" s="70"/>
      <c r="DM34" s="70"/>
      <c r="DN34" s="70"/>
      <c r="DO34" s="70"/>
      <c r="DP34" s="70"/>
      <c r="DQ34" s="70"/>
      <c r="DR34" s="70"/>
      <c r="DS34" s="70"/>
      <c r="DT34" s="70"/>
      <c r="DU34" s="70"/>
      <c r="DV34" s="70"/>
    </row>
    <row r="35" spans="1:126" ht="50" customHeight="1" x14ac:dyDescent="0.2">
      <c r="A35" s="22"/>
      <c r="B35" s="22"/>
      <c r="C35" s="22"/>
      <c r="D35" s="22"/>
      <c r="E35" s="2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70"/>
      <c r="CT35" s="70"/>
      <c r="CU35" s="70"/>
      <c r="CV35" s="70"/>
      <c r="CW35" s="70"/>
      <c r="CX35" s="70"/>
      <c r="CY35" s="70"/>
      <c r="CZ35" s="70"/>
      <c r="DA35" s="70"/>
      <c r="DB35" s="70"/>
      <c r="DC35" s="70"/>
      <c r="DD35" s="70"/>
      <c r="DE35" s="70"/>
      <c r="DF35" s="70"/>
      <c r="DG35" s="70"/>
      <c r="DH35" s="70"/>
      <c r="DI35" s="70"/>
      <c r="DJ35" s="70"/>
      <c r="DK35" s="70"/>
      <c r="DL35" s="70"/>
      <c r="DM35" s="70"/>
      <c r="DN35" s="70"/>
      <c r="DO35" s="70"/>
      <c r="DP35" s="70"/>
      <c r="DQ35" s="70"/>
      <c r="DR35" s="70"/>
      <c r="DS35" s="70"/>
      <c r="DT35" s="70"/>
      <c r="DU35" s="70"/>
      <c r="DV35" s="70"/>
    </row>
    <row r="36" spans="1:126" ht="50" customHeight="1" x14ac:dyDescent="0.2">
      <c r="A36" s="22"/>
      <c r="B36" s="22"/>
      <c r="C36" s="22"/>
      <c r="D36" s="22"/>
      <c r="E36" s="22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70"/>
      <c r="CT36" s="70"/>
      <c r="CU36" s="70"/>
      <c r="CV36" s="70"/>
      <c r="CW36" s="70"/>
      <c r="CX36" s="70"/>
      <c r="CY36" s="70"/>
      <c r="CZ36" s="70"/>
      <c r="DA36" s="70"/>
      <c r="DB36" s="70"/>
      <c r="DC36" s="70"/>
      <c r="DD36" s="70"/>
      <c r="DE36" s="70"/>
      <c r="DF36" s="70"/>
      <c r="DG36" s="70"/>
      <c r="DH36" s="70"/>
      <c r="DI36" s="70"/>
      <c r="DJ36" s="70"/>
      <c r="DK36" s="70"/>
      <c r="DL36" s="70"/>
      <c r="DM36" s="70"/>
      <c r="DN36" s="70"/>
      <c r="DO36" s="70"/>
      <c r="DP36" s="70"/>
      <c r="DQ36" s="70"/>
      <c r="DR36" s="70"/>
      <c r="DS36" s="70"/>
      <c r="DT36" s="70"/>
      <c r="DU36" s="70"/>
      <c r="DV36" s="70"/>
    </row>
    <row r="37" spans="1:126" ht="50" customHeight="1" x14ac:dyDescent="0.2">
      <c r="A37" s="22"/>
      <c r="B37" s="22"/>
      <c r="C37" s="22"/>
      <c r="D37" s="22"/>
      <c r="E37" s="22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70"/>
      <c r="CT37" s="70"/>
      <c r="CU37" s="70"/>
      <c r="CV37" s="70"/>
      <c r="CW37" s="70"/>
      <c r="CX37" s="70"/>
      <c r="CY37" s="70"/>
      <c r="CZ37" s="70"/>
      <c r="DA37" s="70"/>
      <c r="DB37" s="70"/>
      <c r="DC37" s="70"/>
      <c r="DD37" s="70"/>
      <c r="DE37" s="70"/>
      <c r="DF37" s="70"/>
      <c r="DG37" s="70"/>
      <c r="DH37" s="70"/>
      <c r="DI37" s="70"/>
      <c r="DJ37" s="70"/>
      <c r="DK37" s="70"/>
      <c r="DL37" s="70"/>
      <c r="DM37" s="70"/>
      <c r="DN37" s="70"/>
      <c r="DO37" s="70"/>
      <c r="DP37" s="70"/>
      <c r="DQ37" s="70"/>
      <c r="DR37" s="70"/>
      <c r="DS37" s="70"/>
      <c r="DT37" s="70"/>
      <c r="DU37" s="70"/>
      <c r="DV37" s="70"/>
    </row>
    <row r="38" spans="1:126" ht="50" customHeight="1" x14ac:dyDescent="0.2">
      <c r="A38" s="22"/>
      <c r="B38" s="22"/>
      <c r="C38" s="22"/>
      <c r="D38" s="22"/>
      <c r="E38" s="22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</row>
    <row r="39" spans="1:126" ht="50" customHeight="1" x14ac:dyDescent="0.2">
      <c r="A39" s="22"/>
      <c r="B39" s="22"/>
      <c r="C39" s="22"/>
      <c r="D39" s="22"/>
      <c r="E39" s="2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70"/>
      <c r="CT39" s="70"/>
      <c r="CU39" s="70"/>
      <c r="CV39" s="70"/>
      <c r="CW39" s="70"/>
      <c r="CX39" s="70"/>
      <c r="CY39" s="70"/>
      <c r="CZ39" s="70"/>
      <c r="DA39" s="70"/>
      <c r="DB39" s="70"/>
      <c r="DC39" s="70"/>
      <c r="DD39" s="70"/>
      <c r="DE39" s="70"/>
      <c r="DF39" s="70"/>
      <c r="DG39" s="70"/>
      <c r="DH39" s="70"/>
      <c r="DI39" s="70"/>
      <c r="DJ39" s="70"/>
      <c r="DK39" s="70"/>
      <c r="DL39" s="70"/>
      <c r="DM39" s="70"/>
      <c r="DN39" s="70"/>
      <c r="DO39" s="70"/>
      <c r="DP39" s="70"/>
      <c r="DQ39" s="70"/>
      <c r="DR39" s="70"/>
      <c r="DS39" s="70"/>
      <c r="DT39" s="70"/>
      <c r="DU39" s="70"/>
      <c r="DV39" s="70"/>
    </row>
    <row r="40" spans="1:126" ht="50" customHeight="1" x14ac:dyDescent="0.2">
      <c r="A40" s="22"/>
      <c r="B40" s="22"/>
      <c r="C40" s="22"/>
      <c r="D40" s="22"/>
      <c r="E40" s="22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70"/>
      <c r="CT40" s="70"/>
      <c r="CU40" s="70"/>
      <c r="CV40" s="70"/>
      <c r="CW40" s="70"/>
      <c r="CX40" s="70"/>
      <c r="CY40" s="70"/>
      <c r="CZ40" s="70"/>
      <c r="DA40" s="70"/>
      <c r="DB40" s="70"/>
      <c r="DC40" s="70"/>
      <c r="DD40" s="70"/>
      <c r="DE40" s="70"/>
      <c r="DF40" s="70"/>
      <c r="DG40" s="70"/>
      <c r="DH40" s="70"/>
      <c r="DI40" s="70"/>
      <c r="DJ40" s="70"/>
      <c r="DK40" s="70"/>
      <c r="DL40" s="70"/>
      <c r="DM40" s="70"/>
      <c r="DN40" s="70"/>
      <c r="DO40" s="70"/>
      <c r="DP40" s="70"/>
      <c r="DQ40" s="70"/>
      <c r="DR40" s="70"/>
      <c r="DS40" s="70"/>
      <c r="DT40" s="70"/>
      <c r="DU40" s="70"/>
      <c r="DV40" s="70"/>
    </row>
    <row r="41" spans="1:126" ht="50" customHeight="1" x14ac:dyDescent="0.2">
      <c r="A41" s="22"/>
      <c r="B41" s="22"/>
      <c r="C41" s="22"/>
      <c r="D41" s="22"/>
      <c r="E41" s="22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70"/>
      <c r="CT41" s="70"/>
      <c r="CU41" s="70"/>
      <c r="CV41" s="70"/>
      <c r="CW41" s="70"/>
      <c r="CX41" s="70"/>
      <c r="CY41" s="70"/>
      <c r="CZ41" s="70"/>
      <c r="DA41" s="70"/>
      <c r="DB41" s="70"/>
      <c r="DC41" s="70"/>
      <c r="DD41" s="70"/>
      <c r="DE41" s="70"/>
      <c r="DF41" s="70"/>
      <c r="DG41" s="70"/>
      <c r="DH41" s="70"/>
      <c r="DI41" s="70"/>
      <c r="DJ41" s="70"/>
      <c r="DK41" s="70"/>
      <c r="DL41" s="70"/>
      <c r="DM41" s="70"/>
      <c r="DN41" s="70"/>
      <c r="DO41" s="70"/>
      <c r="DP41" s="70"/>
      <c r="DQ41" s="70"/>
      <c r="DR41" s="70"/>
      <c r="DS41" s="70"/>
      <c r="DT41" s="70"/>
      <c r="DU41" s="70"/>
      <c r="DV41" s="70"/>
    </row>
    <row r="42" spans="1:126" ht="50" customHeight="1" x14ac:dyDescent="0.2">
      <c r="A42" s="22"/>
      <c r="B42" s="22"/>
      <c r="C42" s="22"/>
      <c r="D42" s="22"/>
      <c r="E42" s="22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</row>
    <row r="43" spans="1:126" ht="50" customHeight="1" x14ac:dyDescent="0.2">
      <c r="A43" s="22"/>
      <c r="B43" s="22"/>
      <c r="C43" s="22"/>
      <c r="D43" s="22"/>
      <c r="E43" s="22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70"/>
      <c r="CT43" s="70"/>
      <c r="CU43" s="70"/>
      <c r="CV43" s="70"/>
      <c r="CW43" s="70"/>
      <c r="CX43" s="70"/>
      <c r="CY43" s="70"/>
      <c r="CZ43" s="70"/>
      <c r="DA43" s="70"/>
      <c r="DB43" s="70"/>
      <c r="DC43" s="70"/>
      <c r="DD43" s="70"/>
      <c r="DE43" s="70"/>
      <c r="DF43" s="70"/>
      <c r="DG43" s="70"/>
      <c r="DH43" s="70"/>
      <c r="DI43" s="70"/>
      <c r="DJ43" s="70"/>
      <c r="DK43" s="70"/>
      <c r="DL43" s="70"/>
      <c r="DM43" s="70"/>
      <c r="DN43" s="70"/>
      <c r="DO43" s="70"/>
      <c r="DP43" s="70"/>
      <c r="DQ43" s="70"/>
      <c r="DR43" s="70"/>
      <c r="DS43" s="70"/>
      <c r="DT43" s="70"/>
      <c r="DU43" s="70"/>
      <c r="DV43" s="70"/>
    </row>
    <row r="44" spans="1:126" ht="50" customHeight="1" x14ac:dyDescent="0.2">
      <c r="A44" s="22"/>
      <c r="B44" s="22"/>
      <c r="C44" s="22"/>
      <c r="D44" s="22"/>
      <c r="E44" s="22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70"/>
      <c r="CT44" s="70"/>
      <c r="CU44" s="70"/>
      <c r="CV44" s="70"/>
      <c r="CW44" s="70"/>
      <c r="CX44" s="70"/>
      <c r="CY44" s="70"/>
      <c r="CZ44" s="70"/>
      <c r="DA44" s="70"/>
      <c r="DB44" s="70"/>
      <c r="DC44" s="70"/>
      <c r="DD44" s="70"/>
      <c r="DE44" s="70"/>
      <c r="DF44" s="70"/>
      <c r="DG44" s="70"/>
      <c r="DH44" s="70"/>
      <c r="DI44" s="70"/>
      <c r="DJ44" s="70"/>
      <c r="DK44" s="70"/>
      <c r="DL44" s="70"/>
      <c r="DM44" s="70"/>
      <c r="DN44" s="70"/>
      <c r="DO44" s="70"/>
      <c r="DP44" s="70"/>
      <c r="DQ44" s="70"/>
      <c r="DR44" s="70"/>
      <c r="DS44" s="70"/>
      <c r="DT44" s="70"/>
      <c r="DU44" s="70"/>
      <c r="DV44" s="70"/>
    </row>
    <row r="45" spans="1:126" ht="50" customHeight="1" x14ac:dyDescent="0.2">
      <c r="A45" s="22"/>
      <c r="B45" s="22"/>
      <c r="C45" s="22"/>
      <c r="D45" s="22"/>
      <c r="E45" s="22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70"/>
      <c r="CT45" s="70"/>
      <c r="CU45" s="70"/>
      <c r="CV45" s="70"/>
      <c r="CW45" s="70"/>
      <c r="CX45" s="70"/>
      <c r="CY45" s="70"/>
      <c r="CZ45" s="70"/>
      <c r="DA45" s="70"/>
      <c r="DB45" s="70"/>
      <c r="DC45" s="70"/>
      <c r="DD45" s="70"/>
      <c r="DE45" s="70"/>
      <c r="DF45" s="70"/>
      <c r="DG45" s="70"/>
      <c r="DH45" s="70"/>
      <c r="DI45" s="70"/>
      <c r="DJ45" s="70"/>
      <c r="DK45" s="70"/>
      <c r="DL45" s="70"/>
      <c r="DM45" s="70"/>
      <c r="DN45" s="70"/>
      <c r="DO45" s="70"/>
      <c r="DP45" s="70"/>
      <c r="DQ45" s="70"/>
      <c r="DR45" s="70"/>
      <c r="DS45" s="70"/>
      <c r="DT45" s="70"/>
      <c r="DU45" s="70"/>
      <c r="DV45" s="70"/>
    </row>
    <row r="46" spans="1:126" ht="50" customHeight="1" x14ac:dyDescent="0.2">
      <c r="A46" s="22"/>
      <c r="B46" s="22"/>
      <c r="C46" s="22"/>
      <c r="D46" s="22"/>
      <c r="E46" s="22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70"/>
      <c r="CT46" s="70"/>
      <c r="CU46" s="70"/>
      <c r="CV46" s="70"/>
      <c r="CW46" s="70"/>
      <c r="CX46" s="70"/>
      <c r="CY46" s="70"/>
      <c r="CZ46" s="70"/>
      <c r="DA46" s="70"/>
      <c r="DB46" s="70"/>
      <c r="DC46" s="70"/>
      <c r="DD46" s="70"/>
      <c r="DE46" s="70"/>
      <c r="DF46" s="70"/>
      <c r="DG46" s="70"/>
      <c r="DH46" s="70"/>
      <c r="DI46" s="70"/>
      <c r="DJ46" s="70"/>
      <c r="DK46" s="70"/>
      <c r="DL46" s="70"/>
      <c r="DM46" s="70"/>
      <c r="DN46" s="70"/>
      <c r="DO46" s="70"/>
      <c r="DP46" s="70"/>
      <c r="DQ46" s="70"/>
      <c r="DR46" s="70"/>
      <c r="DS46" s="70"/>
      <c r="DT46" s="70"/>
      <c r="DU46" s="70"/>
      <c r="DV46" s="70"/>
    </row>
    <row r="47" spans="1:126" ht="50" customHeight="1" x14ac:dyDescent="0.2">
      <c r="A47" s="22"/>
      <c r="B47" s="22"/>
      <c r="C47" s="22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70"/>
      <c r="CT47" s="70"/>
      <c r="CU47" s="70"/>
      <c r="CV47" s="70"/>
      <c r="CW47" s="70"/>
      <c r="CX47" s="70"/>
      <c r="CY47" s="70"/>
      <c r="CZ47" s="70"/>
      <c r="DA47" s="70"/>
      <c r="DB47" s="70"/>
      <c r="DC47" s="70"/>
      <c r="DD47" s="70"/>
      <c r="DE47" s="70"/>
      <c r="DF47" s="70"/>
      <c r="DG47" s="70"/>
      <c r="DH47" s="70"/>
      <c r="DI47" s="70"/>
      <c r="DJ47" s="70"/>
      <c r="DK47" s="70"/>
      <c r="DL47" s="70"/>
      <c r="DM47" s="70"/>
      <c r="DN47" s="70"/>
      <c r="DO47" s="70"/>
      <c r="DP47" s="70"/>
      <c r="DQ47" s="70"/>
      <c r="DR47" s="70"/>
      <c r="DS47" s="70"/>
      <c r="DT47" s="70"/>
      <c r="DU47" s="70"/>
      <c r="DV47" s="70"/>
    </row>
    <row r="48" spans="1:126" ht="50" customHeight="1" x14ac:dyDescent="0.2">
      <c r="A48" s="22"/>
      <c r="B48" s="22"/>
      <c r="C48" s="22"/>
      <c r="D48" s="22"/>
      <c r="E48" s="22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70"/>
      <c r="CT48" s="70"/>
      <c r="CU48" s="70"/>
      <c r="CV48" s="70"/>
      <c r="CW48" s="70"/>
      <c r="CX48" s="70"/>
      <c r="CY48" s="70"/>
      <c r="CZ48" s="70"/>
      <c r="DA48" s="70"/>
      <c r="DB48" s="70"/>
      <c r="DC48" s="70"/>
      <c r="DD48" s="70"/>
      <c r="DE48" s="70"/>
      <c r="DF48" s="70"/>
      <c r="DG48" s="70"/>
      <c r="DH48" s="70"/>
      <c r="DI48" s="70"/>
      <c r="DJ48" s="70"/>
      <c r="DK48" s="70"/>
      <c r="DL48" s="70"/>
      <c r="DM48" s="70"/>
      <c r="DN48" s="70"/>
      <c r="DO48" s="70"/>
      <c r="DP48" s="70"/>
      <c r="DQ48" s="70"/>
      <c r="DR48" s="70"/>
      <c r="DS48" s="70"/>
      <c r="DT48" s="70"/>
      <c r="DU48" s="70"/>
      <c r="DV48" s="70"/>
    </row>
    <row r="49" spans="1:126" ht="50" customHeight="1" x14ac:dyDescent="0.2">
      <c r="A49" s="22"/>
      <c r="B49" s="22"/>
      <c r="C49" s="22"/>
      <c r="D49" s="22"/>
      <c r="E49" s="22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70"/>
      <c r="CT49" s="70"/>
      <c r="CU49" s="70"/>
      <c r="CV49" s="70"/>
      <c r="CW49" s="70"/>
      <c r="CX49" s="70"/>
      <c r="CY49" s="70"/>
      <c r="CZ49" s="70"/>
      <c r="DA49" s="70"/>
      <c r="DB49" s="70"/>
      <c r="DC49" s="70"/>
      <c r="DD49" s="70"/>
      <c r="DE49" s="70"/>
      <c r="DF49" s="70"/>
      <c r="DG49" s="70"/>
      <c r="DH49" s="70"/>
      <c r="DI49" s="70"/>
      <c r="DJ49" s="70"/>
      <c r="DK49" s="70"/>
      <c r="DL49" s="70"/>
      <c r="DM49" s="70"/>
      <c r="DN49" s="70"/>
      <c r="DO49" s="70"/>
      <c r="DP49" s="70"/>
      <c r="DQ49" s="70"/>
      <c r="DR49" s="70"/>
      <c r="DS49" s="70"/>
      <c r="DT49" s="70"/>
      <c r="DU49" s="70"/>
      <c r="DV49" s="70"/>
    </row>
    <row r="50" spans="1:126" ht="50" customHeight="1" x14ac:dyDescent="0.2">
      <c r="A50" s="22"/>
      <c r="B50" s="22"/>
      <c r="C50" s="22"/>
      <c r="D50" s="22"/>
      <c r="E50" s="22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</row>
    <row r="51" spans="1:126" ht="50" customHeight="1" x14ac:dyDescent="0.2">
      <c r="A51" s="22"/>
      <c r="B51" s="22"/>
      <c r="C51" s="22"/>
      <c r="D51" s="22"/>
      <c r="E51" s="22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70"/>
      <c r="CT51" s="70"/>
      <c r="CU51" s="70"/>
      <c r="CV51" s="70"/>
      <c r="CW51" s="70"/>
      <c r="CX51" s="70"/>
      <c r="CY51" s="70"/>
      <c r="CZ51" s="70"/>
      <c r="DA51" s="70"/>
      <c r="DB51" s="70"/>
      <c r="DC51" s="70"/>
      <c r="DD51" s="70"/>
      <c r="DE51" s="70"/>
      <c r="DF51" s="70"/>
      <c r="DG51" s="70"/>
      <c r="DH51" s="70"/>
      <c r="DI51" s="70"/>
      <c r="DJ51" s="70"/>
      <c r="DK51" s="70"/>
      <c r="DL51" s="70"/>
      <c r="DM51" s="70"/>
      <c r="DN51" s="70"/>
      <c r="DO51" s="70"/>
      <c r="DP51" s="70"/>
      <c r="DQ51" s="70"/>
      <c r="DR51" s="70"/>
      <c r="DS51" s="70"/>
      <c r="DT51" s="70"/>
      <c r="DU51" s="70"/>
      <c r="DV51" s="70"/>
    </row>
    <row r="52" spans="1:126" ht="50" customHeight="1" x14ac:dyDescent="0.2">
      <c r="A52" s="22"/>
      <c r="B52" s="22"/>
      <c r="C52" s="22"/>
      <c r="D52" s="22"/>
      <c r="E52" s="22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</row>
    <row r="53" spans="1:126" ht="50" customHeight="1" x14ac:dyDescent="0.2">
      <c r="A53" s="22"/>
      <c r="B53" s="22"/>
      <c r="C53" s="22"/>
      <c r="D53" s="22"/>
      <c r="E53" s="22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70"/>
      <c r="CT53" s="70"/>
      <c r="CU53" s="70"/>
      <c r="CV53" s="70"/>
      <c r="CW53" s="70"/>
      <c r="CX53" s="70"/>
      <c r="CY53" s="70"/>
      <c r="CZ53" s="70"/>
      <c r="DA53" s="70"/>
      <c r="DB53" s="70"/>
      <c r="DC53" s="70"/>
      <c r="DD53" s="70"/>
      <c r="DE53" s="70"/>
      <c r="DF53" s="70"/>
      <c r="DG53" s="70"/>
      <c r="DH53" s="70"/>
      <c r="DI53" s="70"/>
      <c r="DJ53" s="70"/>
      <c r="DK53" s="70"/>
      <c r="DL53" s="70"/>
      <c r="DM53" s="70"/>
      <c r="DN53" s="70"/>
      <c r="DO53" s="70"/>
      <c r="DP53" s="70"/>
      <c r="DQ53" s="70"/>
      <c r="DR53" s="70"/>
      <c r="DS53" s="70"/>
      <c r="DT53" s="70"/>
      <c r="DU53" s="70"/>
      <c r="DV53" s="70"/>
    </row>
    <row r="54" spans="1:126" ht="50" customHeight="1" x14ac:dyDescent="0.2">
      <c r="A54" s="22"/>
      <c r="B54" s="22"/>
      <c r="C54" s="22"/>
      <c r="D54" s="22"/>
      <c r="E54" s="22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</row>
    <row r="55" spans="1:126" ht="50" customHeight="1" x14ac:dyDescent="0.2">
      <c r="A55" s="22"/>
      <c r="B55" s="22"/>
      <c r="C55" s="22"/>
      <c r="D55" s="22"/>
      <c r="E55" s="22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70"/>
      <c r="CT55" s="70"/>
      <c r="CU55" s="70"/>
      <c r="CV55" s="70"/>
      <c r="CW55" s="70"/>
      <c r="CX55" s="70"/>
      <c r="CY55" s="70"/>
      <c r="CZ55" s="70"/>
      <c r="DA55" s="70"/>
      <c r="DB55" s="70"/>
      <c r="DC55" s="70"/>
      <c r="DD55" s="70"/>
      <c r="DE55" s="70"/>
      <c r="DF55" s="70"/>
      <c r="DG55" s="70"/>
      <c r="DH55" s="70"/>
      <c r="DI55" s="70"/>
      <c r="DJ55" s="70"/>
      <c r="DK55" s="70"/>
      <c r="DL55" s="70"/>
      <c r="DM55" s="70"/>
      <c r="DN55" s="70"/>
      <c r="DO55" s="70"/>
      <c r="DP55" s="70"/>
      <c r="DQ55" s="70"/>
      <c r="DR55" s="70"/>
      <c r="DS55" s="70"/>
      <c r="DT55" s="70"/>
      <c r="DU55" s="70"/>
      <c r="DV55" s="70"/>
    </row>
    <row r="56" spans="1:126" ht="50" customHeight="1" x14ac:dyDescent="0.2">
      <c r="A56" s="22"/>
      <c r="B56" s="22"/>
      <c r="C56" s="22"/>
      <c r="D56" s="22"/>
      <c r="E56" s="22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</row>
    <row r="57" spans="1:126" ht="50" customHeight="1" x14ac:dyDescent="0.2">
      <c r="A57" s="22"/>
      <c r="B57" s="22"/>
      <c r="C57" s="22"/>
      <c r="D57" s="22"/>
      <c r="E57" s="22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70"/>
      <c r="CT57" s="70"/>
      <c r="CU57" s="70"/>
      <c r="CV57" s="70"/>
      <c r="CW57" s="70"/>
      <c r="CX57" s="70"/>
      <c r="CY57" s="70"/>
      <c r="CZ57" s="70"/>
      <c r="DA57" s="70"/>
      <c r="DB57" s="70"/>
      <c r="DC57" s="70"/>
      <c r="DD57" s="70"/>
      <c r="DE57" s="70"/>
      <c r="DF57" s="70"/>
      <c r="DG57" s="70"/>
      <c r="DH57" s="70"/>
      <c r="DI57" s="70"/>
      <c r="DJ57" s="70"/>
      <c r="DK57" s="70"/>
      <c r="DL57" s="70"/>
      <c r="DM57" s="70"/>
      <c r="DN57" s="70"/>
      <c r="DO57" s="70"/>
      <c r="DP57" s="70"/>
      <c r="DQ57" s="70"/>
      <c r="DR57" s="70"/>
      <c r="DS57" s="70"/>
      <c r="DT57" s="70"/>
      <c r="DU57" s="70"/>
      <c r="DV57" s="70"/>
    </row>
    <row r="58" spans="1:126" ht="50" customHeight="1" x14ac:dyDescent="0.2">
      <c r="A58" s="22"/>
      <c r="B58" s="22"/>
      <c r="C58" s="22"/>
      <c r="D58" s="22"/>
      <c r="E58" s="22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</row>
    <row r="59" spans="1:126" ht="50" customHeight="1" x14ac:dyDescent="0.2">
      <c r="A59" s="22"/>
      <c r="B59" s="22"/>
      <c r="C59" s="22"/>
      <c r="D59" s="22"/>
      <c r="E59" s="22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70"/>
      <c r="CT59" s="70"/>
      <c r="CU59" s="70"/>
      <c r="CV59" s="70"/>
      <c r="CW59" s="70"/>
      <c r="CX59" s="70"/>
      <c r="CY59" s="70"/>
      <c r="CZ59" s="70"/>
      <c r="DA59" s="70"/>
      <c r="DB59" s="70"/>
      <c r="DC59" s="70"/>
      <c r="DD59" s="70"/>
      <c r="DE59" s="70"/>
      <c r="DF59" s="70"/>
      <c r="DG59" s="70"/>
      <c r="DH59" s="70"/>
      <c r="DI59" s="70"/>
      <c r="DJ59" s="70"/>
      <c r="DK59" s="70"/>
      <c r="DL59" s="70"/>
      <c r="DM59" s="70"/>
      <c r="DN59" s="70"/>
      <c r="DO59" s="70"/>
      <c r="DP59" s="70"/>
      <c r="DQ59" s="70"/>
      <c r="DR59" s="70"/>
      <c r="DS59" s="70"/>
      <c r="DT59" s="70"/>
      <c r="DU59" s="70"/>
      <c r="DV59" s="70"/>
    </row>
    <row r="60" spans="1:126" ht="50" customHeight="1" x14ac:dyDescent="0.2">
      <c r="A60" s="22"/>
      <c r="B60" s="22"/>
      <c r="C60" s="22"/>
      <c r="D60" s="22"/>
      <c r="E60" s="22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</row>
    <row r="61" spans="1:126" ht="50" customHeight="1" x14ac:dyDescent="0.2">
      <c r="A61" s="22"/>
      <c r="B61" s="22"/>
      <c r="C61" s="22"/>
      <c r="D61" s="22"/>
      <c r="E61" s="22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70"/>
      <c r="CT61" s="70"/>
      <c r="CU61" s="70"/>
      <c r="CV61" s="70"/>
      <c r="CW61" s="70"/>
      <c r="CX61" s="70"/>
      <c r="CY61" s="70"/>
      <c r="CZ61" s="70"/>
      <c r="DA61" s="70"/>
      <c r="DB61" s="70"/>
      <c r="DC61" s="70"/>
      <c r="DD61" s="70"/>
      <c r="DE61" s="70"/>
      <c r="DF61" s="70"/>
      <c r="DG61" s="70"/>
      <c r="DH61" s="70"/>
      <c r="DI61" s="70"/>
      <c r="DJ61" s="70"/>
      <c r="DK61" s="70"/>
      <c r="DL61" s="70"/>
      <c r="DM61" s="70"/>
      <c r="DN61" s="70"/>
      <c r="DO61" s="70"/>
      <c r="DP61" s="70"/>
      <c r="DQ61" s="70"/>
      <c r="DR61" s="70"/>
      <c r="DS61" s="70"/>
      <c r="DT61" s="70"/>
      <c r="DU61" s="70"/>
      <c r="DV61" s="70"/>
    </row>
    <row r="62" spans="1:126" ht="50" customHeight="1" x14ac:dyDescent="0.2">
      <c r="A62" s="22"/>
      <c r="B62" s="22"/>
      <c r="C62" s="22"/>
      <c r="D62" s="22"/>
      <c r="E62" s="22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</row>
    <row r="63" spans="1:126" ht="50" customHeight="1" x14ac:dyDescent="0.2">
      <c r="A63" s="22"/>
      <c r="B63" s="22"/>
      <c r="C63" s="22"/>
      <c r="D63" s="22"/>
      <c r="E63" s="22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70"/>
      <c r="CT63" s="70"/>
      <c r="CU63" s="70"/>
      <c r="CV63" s="70"/>
      <c r="CW63" s="70"/>
      <c r="CX63" s="70"/>
      <c r="CY63" s="70"/>
      <c r="CZ63" s="70"/>
      <c r="DA63" s="70"/>
      <c r="DB63" s="70"/>
      <c r="DC63" s="70"/>
      <c r="DD63" s="70"/>
      <c r="DE63" s="70"/>
      <c r="DF63" s="70"/>
      <c r="DG63" s="70"/>
      <c r="DH63" s="70"/>
      <c r="DI63" s="70"/>
      <c r="DJ63" s="70"/>
      <c r="DK63" s="70"/>
      <c r="DL63" s="70"/>
      <c r="DM63" s="70"/>
      <c r="DN63" s="70"/>
      <c r="DO63" s="70"/>
      <c r="DP63" s="70"/>
      <c r="DQ63" s="70"/>
      <c r="DR63" s="70"/>
      <c r="DS63" s="70"/>
      <c r="DT63" s="70"/>
      <c r="DU63" s="70"/>
      <c r="DV63" s="70"/>
    </row>
    <row r="64" spans="1:126" ht="50" customHeight="1" x14ac:dyDescent="0.2">
      <c r="A64" s="22"/>
      <c r="B64" s="22"/>
      <c r="C64" s="22"/>
      <c r="D64" s="22"/>
      <c r="E64" s="22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</row>
    <row r="65" spans="1:126" ht="50" customHeight="1" x14ac:dyDescent="0.2">
      <c r="A65" s="22"/>
      <c r="B65" s="22"/>
      <c r="C65" s="22"/>
      <c r="D65" s="22"/>
      <c r="E65" s="22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70"/>
      <c r="CT65" s="70"/>
      <c r="CU65" s="70"/>
      <c r="CV65" s="70"/>
      <c r="CW65" s="70"/>
      <c r="CX65" s="70"/>
      <c r="CY65" s="70"/>
      <c r="CZ65" s="70"/>
      <c r="DA65" s="70"/>
      <c r="DB65" s="70"/>
      <c r="DC65" s="70"/>
      <c r="DD65" s="70"/>
      <c r="DE65" s="70"/>
      <c r="DF65" s="70"/>
      <c r="DG65" s="70"/>
      <c r="DH65" s="70"/>
      <c r="DI65" s="70"/>
      <c r="DJ65" s="70"/>
      <c r="DK65" s="70"/>
      <c r="DL65" s="70"/>
      <c r="DM65" s="70"/>
      <c r="DN65" s="70"/>
      <c r="DO65" s="70"/>
      <c r="DP65" s="70"/>
      <c r="DQ65" s="70"/>
      <c r="DR65" s="70"/>
      <c r="DS65" s="70"/>
      <c r="DT65" s="70"/>
      <c r="DU65" s="70"/>
      <c r="DV65" s="70"/>
    </row>
    <row r="66" spans="1:126" ht="50" customHeight="1" x14ac:dyDescent="0.2">
      <c r="A66" s="22"/>
      <c r="B66" s="22"/>
      <c r="C66" s="22"/>
      <c r="D66" s="22"/>
      <c r="E66" s="22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</row>
    <row r="67" spans="1:126" ht="50" customHeight="1" x14ac:dyDescent="0.2">
      <c r="A67" s="22"/>
      <c r="B67" s="22"/>
      <c r="C67" s="22"/>
      <c r="D67" s="22"/>
      <c r="E67" s="22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70"/>
      <c r="CT67" s="70"/>
      <c r="CU67" s="70"/>
      <c r="CV67" s="70"/>
      <c r="CW67" s="70"/>
      <c r="CX67" s="70"/>
      <c r="CY67" s="70"/>
      <c r="CZ67" s="70"/>
      <c r="DA67" s="70"/>
      <c r="DB67" s="70"/>
      <c r="DC67" s="70"/>
      <c r="DD67" s="70"/>
      <c r="DE67" s="70"/>
      <c r="DF67" s="70"/>
      <c r="DG67" s="70"/>
      <c r="DH67" s="70"/>
      <c r="DI67" s="70"/>
      <c r="DJ67" s="70"/>
      <c r="DK67" s="70"/>
      <c r="DL67" s="70"/>
      <c r="DM67" s="70"/>
      <c r="DN67" s="70"/>
      <c r="DO67" s="70"/>
      <c r="DP67" s="70"/>
      <c r="DQ67" s="70"/>
      <c r="DR67" s="70"/>
      <c r="DS67" s="70"/>
      <c r="DT67" s="70"/>
      <c r="DU67" s="70"/>
      <c r="DV67" s="70"/>
    </row>
    <row r="68" spans="1:126" ht="50" customHeight="1" x14ac:dyDescent="0.2">
      <c r="A68" s="22"/>
      <c r="B68" s="22"/>
      <c r="C68" s="22"/>
      <c r="D68" s="22"/>
      <c r="E68" s="22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70"/>
      <c r="CT68" s="70"/>
      <c r="CU68" s="70"/>
      <c r="CV68" s="70"/>
      <c r="CW68" s="70"/>
      <c r="CX68" s="70"/>
      <c r="CY68" s="70"/>
      <c r="CZ68" s="70"/>
      <c r="DA68" s="70"/>
      <c r="DB68" s="70"/>
      <c r="DC68" s="70"/>
      <c r="DD68" s="70"/>
      <c r="DE68" s="70"/>
      <c r="DF68" s="70"/>
      <c r="DG68" s="70"/>
      <c r="DH68" s="70"/>
      <c r="DI68" s="70"/>
      <c r="DJ68" s="70"/>
      <c r="DK68" s="70"/>
      <c r="DL68" s="70"/>
      <c r="DM68" s="70"/>
      <c r="DN68" s="70"/>
      <c r="DO68" s="70"/>
      <c r="DP68" s="70"/>
      <c r="DQ68" s="70"/>
      <c r="DR68" s="70"/>
      <c r="DS68" s="70"/>
      <c r="DT68" s="70"/>
      <c r="DU68" s="70"/>
      <c r="DV68" s="70"/>
    </row>
    <row r="69" spans="1:126" ht="50" customHeight="1" x14ac:dyDescent="0.2">
      <c r="A69" s="22"/>
      <c r="B69" s="22"/>
      <c r="C69" s="22"/>
      <c r="D69" s="22"/>
      <c r="E69" s="22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70"/>
      <c r="CT69" s="70"/>
      <c r="CU69" s="70"/>
      <c r="CV69" s="70"/>
      <c r="CW69" s="70"/>
      <c r="CX69" s="70"/>
      <c r="CY69" s="70"/>
      <c r="CZ69" s="70"/>
      <c r="DA69" s="70"/>
      <c r="DB69" s="70"/>
      <c r="DC69" s="70"/>
      <c r="DD69" s="70"/>
      <c r="DE69" s="70"/>
      <c r="DF69" s="70"/>
      <c r="DG69" s="70"/>
      <c r="DH69" s="70"/>
      <c r="DI69" s="70"/>
      <c r="DJ69" s="70"/>
      <c r="DK69" s="70"/>
      <c r="DL69" s="70"/>
      <c r="DM69" s="70"/>
      <c r="DN69" s="70"/>
      <c r="DO69" s="70"/>
      <c r="DP69" s="70"/>
      <c r="DQ69" s="70"/>
      <c r="DR69" s="70"/>
      <c r="DS69" s="70"/>
      <c r="DT69" s="70"/>
      <c r="DU69" s="70"/>
      <c r="DV69" s="70"/>
    </row>
    <row r="70" spans="1:126" ht="50" customHeight="1" x14ac:dyDescent="0.2">
      <c r="A70" s="22"/>
      <c r="B70" s="22"/>
      <c r="C70" s="22"/>
      <c r="D70" s="22"/>
      <c r="E70" s="22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</row>
    <row r="71" spans="1:126" ht="50" customHeight="1" x14ac:dyDescent="0.2">
      <c r="A71" s="22"/>
      <c r="B71" s="22"/>
      <c r="C71" s="22"/>
      <c r="D71" s="22"/>
      <c r="E71" s="22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70"/>
      <c r="CT71" s="70"/>
      <c r="CU71" s="70"/>
      <c r="CV71" s="70"/>
      <c r="CW71" s="70"/>
      <c r="CX71" s="70"/>
      <c r="CY71" s="70"/>
      <c r="CZ71" s="70"/>
      <c r="DA71" s="70"/>
      <c r="DB71" s="70"/>
      <c r="DC71" s="70"/>
      <c r="DD71" s="70"/>
      <c r="DE71" s="70"/>
      <c r="DF71" s="70"/>
      <c r="DG71" s="70"/>
      <c r="DH71" s="70"/>
      <c r="DI71" s="70"/>
      <c r="DJ71" s="70"/>
      <c r="DK71" s="70"/>
      <c r="DL71" s="70"/>
      <c r="DM71" s="70"/>
      <c r="DN71" s="70"/>
      <c r="DO71" s="70"/>
      <c r="DP71" s="70"/>
      <c r="DQ71" s="70"/>
      <c r="DR71" s="70"/>
      <c r="DS71" s="70"/>
      <c r="DT71" s="70"/>
      <c r="DU71" s="70"/>
      <c r="DV71" s="70"/>
    </row>
    <row r="72" spans="1:126" ht="50" customHeight="1" x14ac:dyDescent="0.2">
      <c r="A72" s="22"/>
      <c r="B72" s="22"/>
      <c r="C72" s="22"/>
      <c r="D72" s="22"/>
      <c r="E72" s="22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70"/>
      <c r="CT72" s="70"/>
      <c r="CU72" s="70"/>
      <c r="CV72" s="70"/>
      <c r="CW72" s="70"/>
      <c r="CX72" s="70"/>
      <c r="CY72" s="70"/>
      <c r="CZ72" s="70"/>
      <c r="DA72" s="70"/>
      <c r="DB72" s="70"/>
      <c r="DC72" s="70"/>
      <c r="DD72" s="70"/>
      <c r="DE72" s="70"/>
      <c r="DF72" s="70"/>
      <c r="DG72" s="70"/>
      <c r="DH72" s="70"/>
      <c r="DI72" s="70"/>
      <c r="DJ72" s="70"/>
      <c r="DK72" s="70"/>
      <c r="DL72" s="70"/>
      <c r="DM72" s="70"/>
      <c r="DN72" s="70"/>
      <c r="DO72" s="70"/>
      <c r="DP72" s="70"/>
      <c r="DQ72" s="70"/>
      <c r="DR72" s="70"/>
      <c r="DS72" s="70"/>
      <c r="DT72" s="70"/>
      <c r="DU72" s="70"/>
      <c r="DV72" s="70"/>
    </row>
    <row r="73" spans="1:126" ht="50" customHeight="1" x14ac:dyDescent="0.2">
      <c r="A73" s="22"/>
      <c r="B73" s="22"/>
      <c r="C73" s="22"/>
      <c r="D73" s="22"/>
      <c r="E73" s="22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70"/>
      <c r="CT73" s="70"/>
      <c r="CU73" s="70"/>
      <c r="CV73" s="70"/>
      <c r="CW73" s="70"/>
      <c r="CX73" s="70"/>
      <c r="CY73" s="70"/>
      <c r="CZ73" s="70"/>
      <c r="DA73" s="70"/>
      <c r="DB73" s="70"/>
      <c r="DC73" s="70"/>
      <c r="DD73" s="70"/>
      <c r="DE73" s="70"/>
      <c r="DF73" s="70"/>
      <c r="DG73" s="70"/>
      <c r="DH73" s="70"/>
      <c r="DI73" s="70"/>
      <c r="DJ73" s="70"/>
      <c r="DK73" s="70"/>
      <c r="DL73" s="70"/>
      <c r="DM73" s="70"/>
      <c r="DN73" s="70"/>
      <c r="DO73" s="70"/>
      <c r="DP73" s="70"/>
      <c r="DQ73" s="70"/>
      <c r="DR73" s="70"/>
      <c r="DS73" s="70"/>
      <c r="DT73" s="70"/>
      <c r="DU73" s="70"/>
      <c r="DV73" s="70"/>
    </row>
    <row r="74" spans="1:126" ht="50" customHeight="1" x14ac:dyDescent="0.2">
      <c r="A74" s="22"/>
      <c r="B74" s="22"/>
      <c r="C74" s="22"/>
      <c r="D74" s="22"/>
      <c r="E74" s="22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</row>
    <row r="75" spans="1:126" ht="50" customHeight="1" x14ac:dyDescent="0.2">
      <c r="A75" s="22"/>
      <c r="B75" s="22"/>
      <c r="C75" s="22"/>
      <c r="D75" s="22"/>
      <c r="E75" s="22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70"/>
      <c r="CT75" s="70"/>
      <c r="CU75" s="70"/>
      <c r="CV75" s="70"/>
      <c r="CW75" s="70"/>
      <c r="CX75" s="70"/>
      <c r="CY75" s="70"/>
      <c r="CZ75" s="70"/>
      <c r="DA75" s="70"/>
      <c r="DB75" s="70"/>
      <c r="DC75" s="70"/>
      <c r="DD75" s="70"/>
      <c r="DE75" s="70"/>
      <c r="DF75" s="70"/>
      <c r="DG75" s="70"/>
      <c r="DH75" s="70"/>
      <c r="DI75" s="70"/>
      <c r="DJ75" s="70"/>
      <c r="DK75" s="70"/>
      <c r="DL75" s="70"/>
      <c r="DM75" s="70"/>
      <c r="DN75" s="70"/>
      <c r="DO75" s="70"/>
      <c r="DP75" s="70"/>
      <c r="DQ75" s="70"/>
      <c r="DR75" s="70"/>
      <c r="DS75" s="70"/>
      <c r="DT75" s="70"/>
      <c r="DU75" s="70"/>
      <c r="DV75" s="70"/>
    </row>
    <row r="76" spans="1:126" ht="50" customHeight="1" x14ac:dyDescent="0.2">
      <c r="A76" s="22"/>
      <c r="B76" s="22"/>
      <c r="C76" s="22"/>
      <c r="D76" s="22"/>
      <c r="E76" s="22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70"/>
      <c r="CT76" s="70"/>
      <c r="CU76" s="70"/>
      <c r="CV76" s="70"/>
      <c r="CW76" s="70"/>
      <c r="CX76" s="70"/>
      <c r="CY76" s="70"/>
      <c r="CZ76" s="70"/>
      <c r="DA76" s="70"/>
      <c r="DB76" s="70"/>
      <c r="DC76" s="70"/>
      <c r="DD76" s="70"/>
      <c r="DE76" s="70"/>
      <c r="DF76" s="70"/>
      <c r="DG76" s="70"/>
      <c r="DH76" s="70"/>
      <c r="DI76" s="70"/>
      <c r="DJ76" s="70"/>
      <c r="DK76" s="70"/>
      <c r="DL76" s="70"/>
      <c r="DM76" s="70"/>
      <c r="DN76" s="70"/>
      <c r="DO76" s="70"/>
      <c r="DP76" s="70"/>
      <c r="DQ76" s="70"/>
      <c r="DR76" s="70"/>
      <c r="DS76" s="70"/>
      <c r="DT76" s="70"/>
      <c r="DU76" s="70"/>
      <c r="DV76" s="70"/>
    </row>
    <row r="77" spans="1:126" ht="50" customHeight="1" x14ac:dyDescent="0.2">
      <c r="A77" s="22"/>
      <c r="B77" s="22"/>
      <c r="C77" s="22"/>
      <c r="D77" s="22"/>
      <c r="E77" s="22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70"/>
      <c r="CT77" s="70"/>
      <c r="CU77" s="70"/>
      <c r="CV77" s="70"/>
      <c r="CW77" s="70"/>
      <c r="CX77" s="70"/>
      <c r="CY77" s="70"/>
      <c r="CZ77" s="70"/>
      <c r="DA77" s="70"/>
      <c r="DB77" s="70"/>
      <c r="DC77" s="70"/>
      <c r="DD77" s="70"/>
      <c r="DE77" s="70"/>
      <c r="DF77" s="70"/>
      <c r="DG77" s="70"/>
      <c r="DH77" s="70"/>
      <c r="DI77" s="70"/>
      <c r="DJ77" s="70"/>
      <c r="DK77" s="70"/>
      <c r="DL77" s="70"/>
      <c r="DM77" s="70"/>
      <c r="DN77" s="70"/>
      <c r="DO77" s="70"/>
      <c r="DP77" s="70"/>
      <c r="DQ77" s="70"/>
      <c r="DR77" s="70"/>
      <c r="DS77" s="70"/>
      <c r="DT77" s="70"/>
      <c r="DU77" s="70"/>
      <c r="DV77" s="70"/>
    </row>
    <row r="78" spans="1:126" ht="50" customHeight="1" x14ac:dyDescent="0.2">
      <c r="A78" s="22"/>
      <c r="B78" s="22"/>
      <c r="C78" s="22"/>
      <c r="D78" s="22"/>
      <c r="E78" s="22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70"/>
      <c r="CT78" s="70"/>
      <c r="CU78" s="70"/>
      <c r="CV78" s="70"/>
      <c r="CW78" s="70"/>
      <c r="CX78" s="70"/>
      <c r="CY78" s="70"/>
      <c r="CZ78" s="70"/>
      <c r="DA78" s="70"/>
      <c r="DB78" s="70"/>
      <c r="DC78" s="70"/>
      <c r="DD78" s="70"/>
      <c r="DE78" s="70"/>
      <c r="DF78" s="70"/>
      <c r="DG78" s="70"/>
      <c r="DH78" s="70"/>
      <c r="DI78" s="70"/>
      <c r="DJ78" s="70"/>
      <c r="DK78" s="70"/>
      <c r="DL78" s="70"/>
      <c r="DM78" s="70"/>
      <c r="DN78" s="70"/>
      <c r="DO78" s="70"/>
      <c r="DP78" s="70"/>
      <c r="DQ78" s="70"/>
      <c r="DR78" s="70"/>
      <c r="DS78" s="70"/>
      <c r="DT78" s="70"/>
      <c r="DU78" s="70"/>
      <c r="DV78" s="70"/>
    </row>
    <row r="79" spans="1:126" ht="50" customHeight="1" x14ac:dyDescent="0.2">
      <c r="A79" s="22"/>
      <c r="B79" s="22"/>
      <c r="C79" s="22"/>
      <c r="D79" s="22"/>
      <c r="E79" s="22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70"/>
      <c r="CT79" s="70"/>
      <c r="CU79" s="70"/>
      <c r="CV79" s="70"/>
      <c r="CW79" s="70"/>
      <c r="CX79" s="70"/>
      <c r="CY79" s="70"/>
      <c r="CZ79" s="70"/>
      <c r="DA79" s="70"/>
      <c r="DB79" s="70"/>
      <c r="DC79" s="70"/>
      <c r="DD79" s="70"/>
      <c r="DE79" s="70"/>
      <c r="DF79" s="70"/>
      <c r="DG79" s="70"/>
      <c r="DH79" s="70"/>
      <c r="DI79" s="70"/>
      <c r="DJ79" s="70"/>
      <c r="DK79" s="70"/>
      <c r="DL79" s="70"/>
      <c r="DM79" s="70"/>
      <c r="DN79" s="70"/>
      <c r="DO79" s="70"/>
      <c r="DP79" s="70"/>
      <c r="DQ79" s="70"/>
      <c r="DR79" s="70"/>
      <c r="DS79" s="70"/>
      <c r="DT79" s="70"/>
      <c r="DU79" s="70"/>
      <c r="DV79" s="70"/>
    </row>
    <row r="80" spans="1:126" ht="50" customHeight="1" x14ac:dyDescent="0.2">
      <c r="A80" s="22"/>
      <c r="B80" s="22"/>
      <c r="C80" s="22"/>
      <c r="D80" s="22"/>
      <c r="E80" s="22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70"/>
      <c r="CT80" s="70"/>
      <c r="CU80" s="70"/>
      <c r="CV80" s="70"/>
      <c r="CW80" s="70"/>
      <c r="CX80" s="70"/>
      <c r="CY80" s="70"/>
      <c r="CZ80" s="70"/>
      <c r="DA80" s="70"/>
      <c r="DB80" s="70"/>
      <c r="DC80" s="70"/>
      <c r="DD80" s="70"/>
      <c r="DE80" s="70"/>
      <c r="DF80" s="70"/>
      <c r="DG80" s="70"/>
      <c r="DH80" s="70"/>
      <c r="DI80" s="70"/>
      <c r="DJ80" s="70"/>
      <c r="DK80" s="70"/>
      <c r="DL80" s="70"/>
      <c r="DM80" s="70"/>
      <c r="DN80" s="70"/>
      <c r="DO80" s="70"/>
      <c r="DP80" s="70"/>
      <c r="DQ80" s="70"/>
      <c r="DR80" s="70"/>
      <c r="DS80" s="70"/>
      <c r="DT80" s="70"/>
      <c r="DU80" s="70"/>
      <c r="DV80" s="70"/>
    </row>
    <row r="81" spans="1:126" ht="50" customHeight="1" x14ac:dyDescent="0.2">
      <c r="A81" s="22"/>
      <c r="B81" s="22"/>
      <c r="C81" s="22"/>
      <c r="D81" s="22"/>
      <c r="E81" s="22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70"/>
      <c r="CT81" s="70"/>
      <c r="CU81" s="70"/>
      <c r="CV81" s="70"/>
      <c r="CW81" s="70"/>
      <c r="CX81" s="70"/>
      <c r="CY81" s="70"/>
      <c r="CZ81" s="70"/>
      <c r="DA81" s="70"/>
      <c r="DB81" s="70"/>
      <c r="DC81" s="70"/>
      <c r="DD81" s="70"/>
      <c r="DE81" s="70"/>
      <c r="DF81" s="70"/>
      <c r="DG81" s="70"/>
      <c r="DH81" s="70"/>
      <c r="DI81" s="70"/>
      <c r="DJ81" s="70"/>
      <c r="DK81" s="70"/>
      <c r="DL81" s="70"/>
      <c r="DM81" s="70"/>
      <c r="DN81" s="70"/>
      <c r="DO81" s="70"/>
      <c r="DP81" s="70"/>
      <c r="DQ81" s="70"/>
      <c r="DR81" s="70"/>
      <c r="DS81" s="70"/>
      <c r="DT81" s="70"/>
      <c r="DU81" s="70"/>
      <c r="DV81" s="70"/>
    </row>
    <row r="82" spans="1:126" ht="50" customHeight="1" x14ac:dyDescent="0.2">
      <c r="A82" s="22"/>
      <c r="B82" s="22"/>
      <c r="C82" s="22"/>
      <c r="D82" s="22"/>
      <c r="E82" s="22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70"/>
      <c r="CT82" s="70"/>
      <c r="CU82" s="70"/>
      <c r="CV82" s="70"/>
      <c r="CW82" s="70"/>
      <c r="CX82" s="70"/>
      <c r="CY82" s="70"/>
      <c r="CZ82" s="70"/>
      <c r="DA82" s="70"/>
      <c r="DB82" s="70"/>
      <c r="DC82" s="70"/>
      <c r="DD82" s="70"/>
      <c r="DE82" s="70"/>
      <c r="DF82" s="70"/>
      <c r="DG82" s="70"/>
      <c r="DH82" s="70"/>
      <c r="DI82" s="70"/>
      <c r="DJ82" s="70"/>
      <c r="DK82" s="70"/>
      <c r="DL82" s="70"/>
      <c r="DM82" s="70"/>
      <c r="DN82" s="70"/>
      <c r="DO82" s="70"/>
      <c r="DP82" s="70"/>
      <c r="DQ82" s="70"/>
      <c r="DR82" s="70"/>
      <c r="DS82" s="70"/>
      <c r="DT82" s="70"/>
      <c r="DU82" s="70"/>
      <c r="DV82" s="70"/>
    </row>
    <row r="83" spans="1:126" ht="50" customHeight="1" x14ac:dyDescent="0.2">
      <c r="A83" s="22"/>
      <c r="B83" s="22"/>
      <c r="C83" s="22"/>
      <c r="D83" s="22"/>
      <c r="E83" s="22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70"/>
      <c r="CT83" s="70"/>
      <c r="CU83" s="70"/>
      <c r="CV83" s="70"/>
      <c r="CW83" s="70"/>
      <c r="CX83" s="70"/>
      <c r="CY83" s="70"/>
      <c r="CZ83" s="70"/>
      <c r="DA83" s="70"/>
      <c r="DB83" s="70"/>
      <c r="DC83" s="70"/>
      <c r="DD83" s="70"/>
      <c r="DE83" s="70"/>
      <c r="DF83" s="70"/>
      <c r="DG83" s="70"/>
      <c r="DH83" s="70"/>
      <c r="DI83" s="70"/>
      <c r="DJ83" s="70"/>
      <c r="DK83" s="70"/>
      <c r="DL83" s="70"/>
      <c r="DM83" s="70"/>
      <c r="DN83" s="70"/>
      <c r="DO83" s="70"/>
      <c r="DP83" s="70"/>
      <c r="DQ83" s="70"/>
      <c r="DR83" s="70"/>
      <c r="DS83" s="70"/>
      <c r="DT83" s="70"/>
      <c r="DU83" s="70"/>
      <c r="DV83" s="70"/>
    </row>
    <row r="84" spans="1:126" ht="50" customHeight="1" x14ac:dyDescent="0.2">
      <c r="A84" s="22"/>
      <c r="B84" s="22"/>
      <c r="C84" s="22"/>
      <c r="D84" s="22"/>
      <c r="E84" s="22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70"/>
      <c r="CT84" s="70"/>
      <c r="CU84" s="70"/>
      <c r="CV84" s="70"/>
      <c r="CW84" s="70"/>
      <c r="CX84" s="70"/>
      <c r="CY84" s="70"/>
      <c r="CZ84" s="70"/>
      <c r="DA84" s="70"/>
      <c r="DB84" s="70"/>
      <c r="DC84" s="70"/>
      <c r="DD84" s="70"/>
      <c r="DE84" s="70"/>
      <c r="DF84" s="70"/>
      <c r="DG84" s="70"/>
      <c r="DH84" s="70"/>
      <c r="DI84" s="70"/>
      <c r="DJ84" s="70"/>
      <c r="DK84" s="70"/>
      <c r="DL84" s="70"/>
      <c r="DM84" s="70"/>
      <c r="DN84" s="70"/>
      <c r="DO84" s="70"/>
      <c r="DP84" s="70"/>
      <c r="DQ84" s="70"/>
      <c r="DR84" s="70"/>
      <c r="DS84" s="70"/>
      <c r="DT84" s="70"/>
      <c r="DU84" s="70"/>
      <c r="DV84" s="70"/>
    </row>
    <row r="85" spans="1:126" ht="50" customHeight="1" x14ac:dyDescent="0.2">
      <c r="A85" s="22"/>
      <c r="B85" s="22"/>
      <c r="C85" s="22"/>
      <c r="D85" s="22"/>
      <c r="E85" s="22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70"/>
      <c r="CT85" s="70"/>
      <c r="CU85" s="70"/>
      <c r="CV85" s="70"/>
      <c r="CW85" s="70"/>
      <c r="CX85" s="70"/>
      <c r="CY85" s="70"/>
      <c r="CZ85" s="70"/>
      <c r="DA85" s="70"/>
      <c r="DB85" s="70"/>
      <c r="DC85" s="70"/>
      <c r="DD85" s="70"/>
      <c r="DE85" s="70"/>
      <c r="DF85" s="70"/>
      <c r="DG85" s="70"/>
      <c r="DH85" s="70"/>
      <c r="DI85" s="70"/>
      <c r="DJ85" s="70"/>
      <c r="DK85" s="70"/>
      <c r="DL85" s="70"/>
      <c r="DM85" s="70"/>
      <c r="DN85" s="70"/>
      <c r="DO85" s="70"/>
      <c r="DP85" s="70"/>
      <c r="DQ85" s="70"/>
      <c r="DR85" s="70"/>
      <c r="DS85" s="70"/>
      <c r="DT85" s="70"/>
      <c r="DU85" s="70"/>
      <c r="DV85" s="70"/>
    </row>
    <row r="86" spans="1:126" ht="50" customHeight="1" x14ac:dyDescent="0.2">
      <c r="A86" s="22"/>
      <c r="B86" s="22"/>
      <c r="C86" s="22"/>
      <c r="D86" s="22"/>
      <c r="E86" s="22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70"/>
      <c r="CT86" s="70"/>
      <c r="CU86" s="70"/>
      <c r="CV86" s="70"/>
      <c r="CW86" s="70"/>
      <c r="CX86" s="70"/>
      <c r="CY86" s="70"/>
      <c r="CZ86" s="70"/>
      <c r="DA86" s="70"/>
      <c r="DB86" s="70"/>
      <c r="DC86" s="70"/>
      <c r="DD86" s="70"/>
      <c r="DE86" s="70"/>
      <c r="DF86" s="70"/>
      <c r="DG86" s="70"/>
      <c r="DH86" s="70"/>
      <c r="DI86" s="70"/>
      <c r="DJ86" s="70"/>
      <c r="DK86" s="70"/>
      <c r="DL86" s="70"/>
      <c r="DM86" s="70"/>
      <c r="DN86" s="70"/>
      <c r="DO86" s="70"/>
      <c r="DP86" s="70"/>
      <c r="DQ86" s="70"/>
      <c r="DR86" s="70"/>
      <c r="DS86" s="70"/>
      <c r="DT86" s="70"/>
      <c r="DU86" s="70"/>
      <c r="DV86" s="70"/>
    </row>
    <row r="87" spans="1:126" ht="50" customHeight="1" x14ac:dyDescent="0.2">
      <c r="A87" s="22"/>
      <c r="B87" s="22"/>
      <c r="C87" s="22"/>
      <c r="D87" s="22"/>
      <c r="E87" s="22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70"/>
      <c r="CT87" s="70"/>
      <c r="CU87" s="70"/>
      <c r="CV87" s="70"/>
      <c r="CW87" s="70"/>
      <c r="CX87" s="70"/>
      <c r="CY87" s="70"/>
      <c r="CZ87" s="70"/>
      <c r="DA87" s="70"/>
      <c r="DB87" s="70"/>
      <c r="DC87" s="70"/>
      <c r="DD87" s="70"/>
      <c r="DE87" s="70"/>
      <c r="DF87" s="70"/>
      <c r="DG87" s="70"/>
      <c r="DH87" s="70"/>
      <c r="DI87" s="70"/>
      <c r="DJ87" s="70"/>
      <c r="DK87" s="70"/>
      <c r="DL87" s="70"/>
      <c r="DM87" s="70"/>
      <c r="DN87" s="70"/>
      <c r="DO87" s="70"/>
      <c r="DP87" s="70"/>
      <c r="DQ87" s="70"/>
      <c r="DR87" s="70"/>
      <c r="DS87" s="70"/>
      <c r="DT87" s="70"/>
      <c r="DU87" s="70"/>
      <c r="DV87" s="70"/>
    </row>
    <row r="88" spans="1:126" ht="50" customHeight="1" x14ac:dyDescent="0.2">
      <c r="A88" s="22"/>
      <c r="B88" s="22"/>
      <c r="C88" s="22"/>
      <c r="D88" s="22"/>
      <c r="E88" s="22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70"/>
      <c r="CT88" s="70"/>
      <c r="CU88" s="70"/>
      <c r="CV88" s="70"/>
      <c r="CW88" s="70"/>
      <c r="CX88" s="70"/>
      <c r="CY88" s="70"/>
      <c r="CZ88" s="70"/>
      <c r="DA88" s="70"/>
      <c r="DB88" s="70"/>
      <c r="DC88" s="70"/>
      <c r="DD88" s="70"/>
      <c r="DE88" s="70"/>
      <c r="DF88" s="70"/>
      <c r="DG88" s="70"/>
      <c r="DH88" s="70"/>
      <c r="DI88" s="70"/>
      <c r="DJ88" s="70"/>
      <c r="DK88" s="70"/>
      <c r="DL88" s="70"/>
      <c r="DM88" s="70"/>
      <c r="DN88" s="70"/>
      <c r="DO88" s="70"/>
      <c r="DP88" s="70"/>
      <c r="DQ88" s="70"/>
      <c r="DR88" s="70"/>
      <c r="DS88" s="70"/>
      <c r="DT88" s="70"/>
      <c r="DU88" s="70"/>
      <c r="DV88" s="70"/>
    </row>
    <row r="89" spans="1:126" ht="50" customHeight="1" x14ac:dyDescent="0.2">
      <c r="A89" s="22"/>
      <c r="B89" s="22"/>
      <c r="C89" s="22"/>
      <c r="D89" s="22"/>
      <c r="E89" s="22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70"/>
      <c r="CT89" s="70"/>
      <c r="CU89" s="70"/>
      <c r="CV89" s="70"/>
      <c r="CW89" s="70"/>
      <c r="CX89" s="70"/>
      <c r="CY89" s="70"/>
      <c r="CZ89" s="70"/>
      <c r="DA89" s="70"/>
      <c r="DB89" s="70"/>
      <c r="DC89" s="70"/>
      <c r="DD89" s="70"/>
      <c r="DE89" s="70"/>
      <c r="DF89" s="70"/>
      <c r="DG89" s="70"/>
      <c r="DH89" s="70"/>
      <c r="DI89" s="70"/>
      <c r="DJ89" s="70"/>
      <c r="DK89" s="70"/>
      <c r="DL89" s="70"/>
      <c r="DM89" s="70"/>
      <c r="DN89" s="70"/>
      <c r="DO89" s="70"/>
      <c r="DP89" s="70"/>
      <c r="DQ89" s="70"/>
      <c r="DR89" s="70"/>
      <c r="DS89" s="70"/>
      <c r="DT89" s="70"/>
      <c r="DU89" s="70"/>
      <c r="DV89" s="70"/>
    </row>
    <row r="90" spans="1:126" ht="50" customHeight="1" x14ac:dyDescent="0.2">
      <c r="A90" s="22"/>
      <c r="B90" s="22"/>
      <c r="C90" s="22"/>
      <c r="D90" s="22"/>
      <c r="E90" s="22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70"/>
      <c r="CT90" s="70"/>
      <c r="CU90" s="70"/>
      <c r="CV90" s="70"/>
      <c r="CW90" s="70"/>
      <c r="CX90" s="70"/>
      <c r="CY90" s="70"/>
      <c r="CZ90" s="70"/>
      <c r="DA90" s="70"/>
      <c r="DB90" s="70"/>
      <c r="DC90" s="70"/>
      <c r="DD90" s="70"/>
      <c r="DE90" s="70"/>
      <c r="DF90" s="70"/>
      <c r="DG90" s="70"/>
      <c r="DH90" s="70"/>
      <c r="DI90" s="70"/>
      <c r="DJ90" s="70"/>
      <c r="DK90" s="70"/>
      <c r="DL90" s="70"/>
      <c r="DM90" s="70"/>
      <c r="DN90" s="70"/>
      <c r="DO90" s="70"/>
      <c r="DP90" s="70"/>
      <c r="DQ90" s="70"/>
      <c r="DR90" s="70"/>
      <c r="DS90" s="70"/>
      <c r="DT90" s="70"/>
      <c r="DU90" s="70"/>
      <c r="DV90" s="70"/>
    </row>
    <row r="91" spans="1:126" ht="50" customHeight="1" x14ac:dyDescent="0.2">
      <c r="A91" s="22"/>
      <c r="B91" s="22"/>
      <c r="C91" s="22"/>
      <c r="D91" s="22"/>
      <c r="E91" s="22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70"/>
      <c r="CT91" s="70"/>
      <c r="CU91" s="70"/>
      <c r="CV91" s="70"/>
      <c r="CW91" s="70"/>
      <c r="CX91" s="70"/>
      <c r="CY91" s="70"/>
      <c r="CZ91" s="70"/>
      <c r="DA91" s="70"/>
      <c r="DB91" s="70"/>
      <c r="DC91" s="70"/>
      <c r="DD91" s="70"/>
      <c r="DE91" s="70"/>
      <c r="DF91" s="70"/>
      <c r="DG91" s="70"/>
      <c r="DH91" s="70"/>
      <c r="DI91" s="70"/>
      <c r="DJ91" s="70"/>
      <c r="DK91" s="70"/>
      <c r="DL91" s="70"/>
      <c r="DM91" s="70"/>
      <c r="DN91" s="70"/>
      <c r="DO91" s="70"/>
      <c r="DP91" s="70"/>
      <c r="DQ91" s="70"/>
      <c r="DR91" s="70"/>
      <c r="DS91" s="70"/>
      <c r="DT91" s="70"/>
      <c r="DU91" s="70"/>
      <c r="DV91" s="70"/>
    </row>
    <row r="92" spans="1:126" ht="50" customHeight="1" x14ac:dyDescent="0.2">
      <c r="A92" s="22"/>
      <c r="B92" s="22"/>
      <c r="C92" s="22"/>
      <c r="D92" s="22"/>
      <c r="E92" s="22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70"/>
      <c r="CT92" s="70"/>
      <c r="CU92" s="70"/>
      <c r="CV92" s="70"/>
      <c r="CW92" s="70"/>
      <c r="CX92" s="70"/>
      <c r="CY92" s="70"/>
      <c r="CZ92" s="70"/>
      <c r="DA92" s="70"/>
      <c r="DB92" s="70"/>
      <c r="DC92" s="70"/>
      <c r="DD92" s="70"/>
      <c r="DE92" s="70"/>
      <c r="DF92" s="70"/>
      <c r="DG92" s="70"/>
      <c r="DH92" s="70"/>
      <c r="DI92" s="70"/>
      <c r="DJ92" s="70"/>
      <c r="DK92" s="70"/>
      <c r="DL92" s="70"/>
      <c r="DM92" s="70"/>
      <c r="DN92" s="70"/>
      <c r="DO92" s="70"/>
      <c r="DP92" s="70"/>
      <c r="DQ92" s="70"/>
      <c r="DR92" s="70"/>
      <c r="DS92" s="70"/>
      <c r="DT92" s="70"/>
      <c r="DU92" s="70"/>
      <c r="DV92" s="70"/>
    </row>
    <row r="93" spans="1:126" ht="50" customHeight="1" x14ac:dyDescent="0.2">
      <c r="A93" s="22"/>
      <c r="B93" s="22"/>
      <c r="C93" s="22"/>
      <c r="D93" s="22"/>
      <c r="E93" s="22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70"/>
      <c r="CT93" s="70"/>
      <c r="CU93" s="70"/>
      <c r="CV93" s="70"/>
      <c r="CW93" s="70"/>
      <c r="CX93" s="70"/>
      <c r="CY93" s="70"/>
      <c r="CZ93" s="70"/>
      <c r="DA93" s="70"/>
      <c r="DB93" s="70"/>
      <c r="DC93" s="70"/>
      <c r="DD93" s="70"/>
      <c r="DE93" s="70"/>
      <c r="DF93" s="70"/>
      <c r="DG93" s="70"/>
      <c r="DH93" s="70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70"/>
      <c r="DU93" s="70"/>
      <c r="DV93" s="70"/>
    </row>
    <row r="94" spans="1:126" ht="50" customHeight="1" x14ac:dyDescent="0.2">
      <c r="A94" s="22"/>
      <c r="B94" s="22"/>
      <c r="C94" s="22"/>
      <c r="D94" s="22"/>
      <c r="E94" s="22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70"/>
      <c r="CT94" s="70"/>
      <c r="CU94" s="70"/>
      <c r="CV94" s="70"/>
      <c r="CW94" s="70"/>
      <c r="CX94" s="70"/>
      <c r="CY94" s="70"/>
      <c r="CZ94" s="70"/>
      <c r="DA94" s="70"/>
      <c r="DB94" s="70"/>
      <c r="DC94" s="70"/>
      <c r="DD94" s="70"/>
      <c r="DE94" s="70"/>
      <c r="DF94" s="70"/>
      <c r="DG94" s="70"/>
      <c r="DH94" s="70"/>
      <c r="DI94" s="70"/>
      <c r="DJ94" s="70"/>
      <c r="DK94" s="70"/>
      <c r="DL94" s="70"/>
      <c r="DM94" s="70"/>
      <c r="DN94" s="70"/>
      <c r="DO94" s="70"/>
      <c r="DP94" s="70"/>
      <c r="DQ94" s="70"/>
      <c r="DR94" s="70"/>
      <c r="DS94" s="70"/>
      <c r="DT94" s="70"/>
      <c r="DU94" s="70"/>
      <c r="DV94" s="70"/>
    </row>
    <row r="95" spans="1:126" ht="50" customHeight="1" x14ac:dyDescent="0.2">
      <c r="A95" s="22"/>
      <c r="B95" s="22"/>
      <c r="C95" s="22"/>
      <c r="D95" s="22"/>
      <c r="E95" s="22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70"/>
      <c r="CT95" s="70"/>
      <c r="CU95" s="70"/>
      <c r="CV95" s="70"/>
      <c r="CW95" s="70"/>
      <c r="CX95" s="70"/>
      <c r="CY95" s="70"/>
      <c r="CZ95" s="70"/>
      <c r="DA95" s="70"/>
      <c r="DB95" s="70"/>
      <c r="DC95" s="70"/>
      <c r="DD95" s="70"/>
      <c r="DE95" s="70"/>
      <c r="DF95" s="70"/>
      <c r="DG95" s="70"/>
      <c r="DH95" s="70"/>
      <c r="DI95" s="70"/>
      <c r="DJ95" s="70"/>
      <c r="DK95" s="70"/>
      <c r="DL95" s="70"/>
      <c r="DM95" s="70"/>
      <c r="DN95" s="70"/>
      <c r="DO95" s="70"/>
      <c r="DP95" s="70"/>
      <c r="DQ95" s="70"/>
      <c r="DR95" s="70"/>
      <c r="DS95" s="70"/>
      <c r="DT95" s="70"/>
      <c r="DU95" s="70"/>
      <c r="DV95" s="70"/>
    </row>
    <row r="96" spans="1:126" ht="50" customHeight="1" x14ac:dyDescent="0.2">
      <c r="A96" s="22"/>
      <c r="B96" s="22"/>
      <c r="C96" s="22"/>
      <c r="D96" s="22"/>
      <c r="E96" s="22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70"/>
      <c r="CT96" s="70"/>
      <c r="CU96" s="70"/>
      <c r="CV96" s="70"/>
      <c r="CW96" s="70"/>
      <c r="CX96" s="70"/>
      <c r="CY96" s="70"/>
      <c r="CZ96" s="70"/>
      <c r="DA96" s="70"/>
      <c r="DB96" s="70"/>
      <c r="DC96" s="70"/>
      <c r="DD96" s="70"/>
      <c r="DE96" s="70"/>
      <c r="DF96" s="70"/>
      <c r="DG96" s="70"/>
      <c r="DH96" s="70"/>
      <c r="DI96" s="70"/>
      <c r="DJ96" s="70"/>
      <c r="DK96" s="70"/>
      <c r="DL96" s="70"/>
      <c r="DM96" s="70"/>
      <c r="DN96" s="70"/>
      <c r="DO96" s="70"/>
      <c r="DP96" s="70"/>
      <c r="DQ96" s="70"/>
      <c r="DR96" s="70"/>
      <c r="DS96" s="70"/>
      <c r="DT96" s="70"/>
      <c r="DU96" s="70"/>
      <c r="DV96" s="70"/>
    </row>
    <row r="97" spans="1:126" ht="50" customHeight="1" x14ac:dyDescent="0.2">
      <c r="A97" s="22"/>
      <c r="B97" s="22"/>
      <c r="C97" s="22"/>
      <c r="D97" s="22"/>
      <c r="E97" s="22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70"/>
      <c r="CT97" s="70"/>
      <c r="CU97" s="70"/>
      <c r="CV97" s="70"/>
      <c r="CW97" s="70"/>
      <c r="CX97" s="70"/>
      <c r="CY97" s="70"/>
      <c r="CZ97" s="70"/>
      <c r="DA97" s="70"/>
      <c r="DB97" s="70"/>
      <c r="DC97" s="70"/>
      <c r="DD97" s="70"/>
      <c r="DE97" s="70"/>
      <c r="DF97" s="70"/>
      <c r="DG97" s="70"/>
      <c r="DH97" s="70"/>
      <c r="DI97" s="70"/>
      <c r="DJ97" s="70"/>
      <c r="DK97" s="70"/>
      <c r="DL97" s="70"/>
      <c r="DM97" s="70"/>
      <c r="DN97" s="70"/>
      <c r="DO97" s="70"/>
      <c r="DP97" s="70"/>
      <c r="DQ97" s="70"/>
      <c r="DR97" s="70"/>
      <c r="DS97" s="70"/>
      <c r="DT97" s="70"/>
      <c r="DU97" s="70"/>
      <c r="DV97" s="70"/>
    </row>
    <row r="98" spans="1:126" ht="50" customHeight="1" x14ac:dyDescent="0.2">
      <c r="A98" s="22"/>
      <c r="B98" s="22"/>
      <c r="C98" s="22"/>
      <c r="D98" s="22"/>
      <c r="E98" s="22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70"/>
      <c r="CT98" s="70"/>
      <c r="CU98" s="70"/>
      <c r="CV98" s="70"/>
      <c r="CW98" s="70"/>
      <c r="CX98" s="70"/>
      <c r="CY98" s="70"/>
      <c r="CZ98" s="70"/>
      <c r="DA98" s="70"/>
      <c r="DB98" s="70"/>
      <c r="DC98" s="70"/>
      <c r="DD98" s="70"/>
      <c r="DE98" s="70"/>
      <c r="DF98" s="70"/>
      <c r="DG98" s="70"/>
      <c r="DH98" s="70"/>
      <c r="DI98" s="70"/>
      <c r="DJ98" s="70"/>
      <c r="DK98" s="70"/>
      <c r="DL98" s="70"/>
      <c r="DM98" s="70"/>
      <c r="DN98" s="70"/>
      <c r="DO98" s="70"/>
      <c r="DP98" s="70"/>
      <c r="DQ98" s="70"/>
      <c r="DR98" s="70"/>
      <c r="DS98" s="70"/>
      <c r="DT98" s="70"/>
      <c r="DU98" s="70"/>
      <c r="DV98" s="70"/>
    </row>
    <row r="99" spans="1:126" ht="50" customHeight="1" x14ac:dyDescent="0.2">
      <c r="A99" s="22"/>
      <c r="B99" s="22"/>
      <c r="C99" s="22"/>
      <c r="D99" s="22"/>
      <c r="E99" s="22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70"/>
      <c r="CT99" s="70"/>
      <c r="CU99" s="70"/>
      <c r="CV99" s="70"/>
      <c r="CW99" s="70"/>
      <c r="CX99" s="70"/>
      <c r="CY99" s="70"/>
      <c r="CZ99" s="70"/>
      <c r="DA99" s="70"/>
      <c r="DB99" s="70"/>
      <c r="DC99" s="70"/>
      <c r="DD99" s="70"/>
      <c r="DE99" s="70"/>
      <c r="DF99" s="70"/>
      <c r="DG99" s="70"/>
      <c r="DH99" s="70"/>
      <c r="DI99" s="70"/>
      <c r="DJ99" s="70"/>
      <c r="DK99" s="70"/>
      <c r="DL99" s="70"/>
      <c r="DM99" s="70"/>
      <c r="DN99" s="70"/>
      <c r="DO99" s="70"/>
      <c r="DP99" s="70"/>
      <c r="DQ99" s="70"/>
      <c r="DR99" s="70"/>
      <c r="DS99" s="70"/>
      <c r="DT99" s="70"/>
      <c r="DU99" s="70"/>
      <c r="DV99" s="70"/>
    </row>
    <row r="100" spans="1:126" ht="50" customHeight="1" x14ac:dyDescent="0.2">
      <c r="A100" s="22"/>
      <c r="B100" s="22"/>
      <c r="C100" s="22"/>
      <c r="D100" s="22"/>
      <c r="E100" s="22"/>
      <c r="F100" s="21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Q100" s="70"/>
      <c r="CR100" s="70"/>
      <c r="CS100" s="70"/>
      <c r="CT100" s="70"/>
      <c r="CU100" s="70"/>
      <c r="CV100" s="70"/>
      <c r="CW100" s="70"/>
      <c r="CX100" s="70"/>
      <c r="CY100" s="70"/>
      <c r="CZ100" s="70"/>
      <c r="DA100" s="70"/>
      <c r="DB100" s="70"/>
      <c r="DC100" s="70"/>
      <c r="DD100" s="70"/>
      <c r="DE100" s="70"/>
      <c r="DF100" s="70"/>
      <c r="DG100" s="70"/>
      <c r="DH100" s="70"/>
      <c r="DI100" s="70"/>
      <c r="DJ100" s="70"/>
      <c r="DK100" s="70"/>
      <c r="DL100" s="70"/>
      <c r="DM100" s="70"/>
      <c r="DN100" s="70"/>
      <c r="DO100" s="70"/>
      <c r="DP100" s="70"/>
      <c r="DQ100" s="70"/>
      <c r="DR100" s="70"/>
      <c r="DS100" s="70"/>
      <c r="DT100" s="70"/>
      <c r="DU100" s="70"/>
      <c r="DV100" s="70"/>
    </row>
    <row r="101" spans="1:126" ht="50" customHeight="1" x14ac:dyDescent="0.2">
      <c r="A101" s="22"/>
      <c r="B101" s="22"/>
      <c r="C101" s="22"/>
      <c r="D101" s="22"/>
      <c r="E101" s="22"/>
      <c r="F101" s="21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Q101" s="70"/>
      <c r="CR101" s="70"/>
      <c r="CS101" s="70"/>
      <c r="CT101" s="70"/>
      <c r="CU101" s="70"/>
      <c r="CV101" s="70"/>
      <c r="CW101" s="70"/>
      <c r="CX101" s="70"/>
      <c r="CY101" s="70"/>
      <c r="CZ101" s="70"/>
      <c r="DA101" s="70"/>
      <c r="DB101" s="70"/>
      <c r="DC101" s="70"/>
      <c r="DD101" s="70"/>
      <c r="DE101" s="70"/>
      <c r="DF101" s="70"/>
      <c r="DG101" s="70"/>
      <c r="DH101" s="70"/>
      <c r="DI101" s="70"/>
      <c r="DJ101" s="70"/>
      <c r="DK101" s="70"/>
      <c r="DL101" s="70"/>
      <c r="DM101" s="70"/>
      <c r="DN101" s="70"/>
      <c r="DO101" s="70"/>
      <c r="DP101" s="70"/>
      <c r="DQ101" s="70"/>
      <c r="DR101" s="70"/>
      <c r="DS101" s="70"/>
      <c r="DT101" s="70"/>
      <c r="DU101" s="70"/>
      <c r="DV101" s="70"/>
    </row>
    <row r="102" spans="1:126" ht="50" customHeight="1" x14ac:dyDescent="0.2">
      <c r="A102" s="22"/>
      <c r="B102" s="22"/>
      <c r="C102" s="22"/>
      <c r="D102" s="22"/>
      <c r="E102" s="22"/>
      <c r="F102" s="21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Q102" s="70"/>
      <c r="CR102" s="70"/>
      <c r="CS102" s="70"/>
      <c r="CT102" s="70"/>
      <c r="CU102" s="70"/>
      <c r="CV102" s="70"/>
      <c r="CW102" s="70"/>
      <c r="CX102" s="70"/>
      <c r="CY102" s="70"/>
      <c r="CZ102" s="70"/>
      <c r="DA102" s="70"/>
      <c r="DB102" s="70"/>
      <c r="DC102" s="70"/>
      <c r="DD102" s="70"/>
      <c r="DE102" s="70"/>
      <c r="DF102" s="70"/>
      <c r="DG102" s="70"/>
      <c r="DH102" s="70"/>
      <c r="DI102" s="70"/>
      <c r="DJ102" s="70"/>
      <c r="DK102" s="70"/>
      <c r="DL102" s="70"/>
      <c r="DM102" s="70"/>
      <c r="DN102" s="70"/>
      <c r="DO102" s="70"/>
      <c r="DP102" s="70"/>
      <c r="DQ102" s="70"/>
      <c r="DR102" s="70"/>
      <c r="DS102" s="70"/>
      <c r="DT102" s="70"/>
      <c r="DU102" s="70"/>
      <c r="DV102" s="70"/>
    </row>
    <row r="103" spans="1:126" ht="50" customHeight="1" x14ac:dyDescent="0.2">
      <c r="A103" s="22"/>
      <c r="B103" s="22"/>
      <c r="C103" s="22"/>
      <c r="D103" s="22"/>
      <c r="E103" s="22"/>
      <c r="F103" s="21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Q103" s="70"/>
      <c r="CR103" s="70"/>
      <c r="CS103" s="70"/>
      <c r="CT103" s="70"/>
      <c r="CU103" s="70"/>
      <c r="CV103" s="70"/>
      <c r="CW103" s="70"/>
      <c r="CX103" s="70"/>
      <c r="CY103" s="70"/>
      <c r="CZ103" s="70"/>
      <c r="DA103" s="70"/>
      <c r="DB103" s="70"/>
      <c r="DC103" s="70"/>
      <c r="DD103" s="70"/>
      <c r="DE103" s="70"/>
      <c r="DF103" s="70"/>
      <c r="DG103" s="70"/>
      <c r="DH103" s="70"/>
      <c r="DI103" s="70"/>
      <c r="DJ103" s="70"/>
      <c r="DK103" s="70"/>
      <c r="DL103" s="70"/>
      <c r="DM103" s="70"/>
      <c r="DN103" s="70"/>
      <c r="DO103" s="70"/>
      <c r="DP103" s="70"/>
      <c r="DQ103" s="70"/>
      <c r="DR103" s="70"/>
      <c r="DS103" s="70"/>
      <c r="DT103" s="70"/>
      <c r="DU103" s="70"/>
      <c r="DV103" s="70"/>
    </row>
    <row r="104" spans="1:126" ht="50" customHeight="1" x14ac:dyDescent="0.2">
      <c r="A104" s="22"/>
      <c r="B104" s="22"/>
      <c r="C104" s="22"/>
      <c r="D104" s="22"/>
      <c r="E104" s="22"/>
      <c r="F104" s="21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Q104" s="70"/>
      <c r="CR104" s="70"/>
      <c r="CS104" s="70"/>
      <c r="CT104" s="70"/>
      <c r="CU104" s="70"/>
      <c r="CV104" s="70"/>
      <c r="CW104" s="70"/>
      <c r="CX104" s="70"/>
      <c r="CY104" s="70"/>
      <c r="CZ104" s="70"/>
      <c r="DA104" s="70"/>
      <c r="DB104" s="70"/>
      <c r="DC104" s="70"/>
      <c r="DD104" s="70"/>
      <c r="DE104" s="70"/>
      <c r="DF104" s="70"/>
      <c r="DG104" s="70"/>
      <c r="DH104" s="70"/>
      <c r="DI104" s="70"/>
      <c r="DJ104" s="70"/>
      <c r="DK104" s="70"/>
      <c r="DL104" s="70"/>
      <c r="DM104" s="70"/>
      <c r="DN104" s="70"/>
      <c r="DO104" s="70"/>
      <c r="DP104" s="70"/>
      <c r="DQ104" s="70"/>
      <c r="DR104" s="70"/>
      <c r="DS104" s="70"/>
      <c r="DT104" s="70"/>
      <c r="DU104" s="70"/>
      <c r="DV104" s="70"/>
    </row>
    <row r="105" spans="1:126" ht="50" customHeight="1" x14ac:dyDescent="0.2">
      <c r="A105" s="22"/>
      <c r="B105" s="22"/>
      <c r="C105" s="22"/>
      <c r="D105" s="22"/>
      <c r="E105" s="22"/>
      <c r="F105" s="21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70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70"/>
      <c r="DU105" s="70"/>
      <c r="DV105" s="70"/>
    </row>
    <row r="106" spans="1:126" ht="50" customHeight="1" x14ac:dyDescent="0.2">
      <c r="A106" s="22"/>
      <c r="B106" s="22"/>
      <c r="C106" s="22"/>
      <c r="D106" s="22"/>
      <c r="E106" s="22"/>
      <c r="F106" s="21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Q106" s="70"/>
      <c r="CR106" s="70"/>
      <c r="CS106" s="70"/>
      <c r="CT106" s="70"/>
      <c r="CU106" s="70"/>
      <c r="CV106" s="70"/>
      <c r="CW106" s="70"/>
      <c r="CX106" s="70"/>
      <c r="CY106" s="70"/>
      <c r="CZ106" s="70"/>
      <c r="DA106" s="70"/>
      <c r="DB106" s="70"/>
      <c r="DC106" s="70"/>
      <c r="DD106" s="70"/>
      <c r="DE106" s="70"/>
      <c r="DF106" s="70"/>
      <c r="DG106" s="70"/>
      <c r="DH106" s="70"/>
      <c r="DI106" s="70"/>
      <c r="DJ106" s="70"/>
      <c r="DK106" s="70"/>
      <c r="DL106" s="70"/>
      <c r="DM106" s="70"/>
      <c r="DN106" s="70"/>
      <c r="DO106" s="70"/>
      <c r="DP106" s="70"/>
      <c r="DQ106" s="70"/>
      <c r="DR106" s="70"/>
      <c r="DS106" s="70"/>
      <c r="DT106" s="70"/>
      <c r="DU106" s="70"/>
      <c r="DV106" s="70"/>
    </row>
    <row r="107" spans="1:126" ht="50" customHeight="1" x14ac:dyDescent="0.2">
      <c r="A107" s="22"/>
      <c r="B107" s="22"/>
      <c r="C107" s="22"/>
      <c r="D107" s="22"/>
      <c r="E107" s="22"/>
      <c r="F107" s="21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Q107" s="70"/>
      <c r="CR107" s="70"/>
      <c r="CS107" s="70"/>
      <c r="CT107" s="70"/>
      <c r="CU107" s="70"/>
      <c r="CV107" s="70"/>
      <c r="CW107" s="70"/>
      <c r="CX107" s="70"/>
      <c r="CY107" s="70"/>
      <c r="CZ107" s="70"/>
      <c r="DA107" s="70"/>
      <c r="DB107" s="70"/>
      <c r="DC107" s="70"/>
      <c r="DD107" s="70"/>
      <c r="DE107" s="70"/>
      <c r="DF107" s="70"/>
      <c r="DG107" s="70"/>
      <c r="DH107" s="70"/>
      <c r="DI107" s="70"/>
      <c r="DJ107" s="70"/>
      <c r="DK107" s="70"/>
      <c r="DL107" s="70"/>
      <c r="DM107" s="70"/>
      <c r="DN107" s="70"/>
      <c r="DO107" s="70"/>
      <c r="DP107" s="70"/>
      <c r="DQ107" s="70"/>
      <c r="DR107" s="70"/>
      <c r="DS107" s="70"/>
      <c r="DT107" s="70"/>
      <c r="DU107" s="70"/>
      <c r="DV107" s="70"/>
    </row>
    <row r="108" spans="1:126" ht="50" customHeight="1" x14ac:dyDescent="0.2">
      <c r="A108" s="22"/>
      <c r="B108" s="22"/>
      <c r="C108" s="22"/>
      <c r="D108" s="22"/>
      <c r="E108" s="22"/>
      <c r="F108" s="21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Q108" s="70"/>
      <c r="CR108" s="70"/>
      <c r="CS108" s="70"/>
      <c r="CT108" s="70"/>
      <c r="CU108" s="70"/>
      <c r="CV108" s="70"/>
      <c r="CW108" s="70"/>
      <c r="CX108" s="70"/>
      <c r="CY108" s="70"/>
      <c r="CZ108" s="70"/>
      <c r="DA108" s="70"/>
      <c r="DB108" s="70"/>
      <c r="DC108" s="70"/>
      <c r="DD108" s="70"/>
      <c r="DE108" s="70"/>
      <c r="DF108" s="70"/>
      <c r="DG108" s="70"/>
      <c r="DH108" s="70"/>
      <c r="DI108" s="70"/>
      <c r="DJ108" s="70"/>
      <c r="DK108" s="70"/>
      <c r="DL108" s="70"/>
      <c r="DM108" s="70"/>
      <c r="DN108" s="70"/>
      <c r="DO108" s="70"/>
      <c r="DP108" s="70"/>
      <c r="DQ108" s="70"/>
      <c r="DR108" s="70"/>
      <c r="DS108" s="70"/>
      <c r="DT108" s="70"/>
      <c r="DU108" s="70"/>
      <c r="DV108" s="70"/>
    </row>
    <row r="109" spans="1:126" ht="50" customHeight="1" x14ac:dyDescent="0.2">
      <c r="A109" s="22"/>
      <c r="B109" s="22"/>
      <c r="C109" s="22"/>
      <c r="D109" s="22"/>
      <c r="E109" s="22"/>
      <c r="F109" s="21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Q109" s="70"/>
      <c r="CR109" s="70"/>
      <c r="CS109" s="70"/>
      <c r="CT109" s="70"/>
      <c r="CU109" s="70"/>
      <c r="CV109" s="70"/>
      <c r="CW109" s="70"/>
      <c r="CX109" s="70"/>
      <c r="CY109" s="70"/>
      <c r="CZ109" s="70"/>
      <c r="DA109" s="70"/>
      <c r="DB109" s="70"/>
      <c r="DC109" s="70"/>
      <c r="DD109" s="70"/>
      <c r="DE109" s="70"/>
      <c r="DF109" s="70"/>
      <c r="DG109" s="70"/>
      <c r="DH109" s="70"/>
      <c r="DI109" s="70"/>
      <c r="DJ109" s="70"/>
      <c r="DK109" s="70"/>
      <c r="DL109" s="70"/>
      <c r="DM109" s="70"/>
      <c r="DN109" s="70"/>
      <c r="DO109" s="70"/>
      <c r="DP109" s="70"/>
      <c r="DQ109" s="70"/>
      <c r="DR109" s="70"/>
      <c r="DS109" s="70"/>
      <c r="DT109" s="70"/>
      <c r="DU109" s="70"/>
      <c r="DV109" s="70"/>
    </row>
    <row r="110" spans="1:126" ht="50" customHeight="1" x14ac:dyDescent="0.2">
      <c r="A110" s="22"/>
      <c r="B110" s="22"/>
      <c r="C110" s="22"/>
      <c r="D110" s="22"/>
      <c r="E110" s="22"/>
      <c r="F110" s="21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70"/>
      <c r="CR110" s="70"/>
      <c r="CS110" s="70"/>
      <c r="CT110" s="70"/>
      <c r="CU110" s="70"/>
      <c r="CV110" s="70"/>
      <c r="CW110" s="70"/>
      <c r="CX110" s="70"/>
      <c r="CY110" s="70"/>
      <c r="CZ110" s="70"/>
      <c r="DA110" s="70"/>
      <c r="DB110" s="70"/>
      <c r="DC110" s="70"/>
      <c r="DD110" s="70"/>
      <c r="DE110" s="70"/>
      <c r="DF110" s="70"/>
      <c r="DG110" s="70"/>
      <c r="DH110" s="70"/>
      <c r="DI110" s="70"/>
      <c r="DJ110" s="70"/>
      <c r="DK110" s="70"/>
      <c r="DL110" s="70"/>
      <c r="DM110" s="70"/>
      <c r="DN110" s="70"/>
      <c r="DO110" s="70"/>
      <c r="DP110" s="70"/>
      <c r="DQ110" s="70"/>
      <c r="DR110" s="70"/>
      <c r="DS110" s="70"/>
      <c r="DT110" s="70"/>
      <c r="DU110" s="70"/>
      <c r="DV110" s="70"/>
    </row>
    <row r="111" spans="1:126" ht="50" customHeight="1" x14ac:dyDescent="0.2">
      <c r="A111" s="22"/>
      <c r="B111" s="22"/>
      <c r="C111" s="22"/>
      <c r="D111" s="22"/>
      <c r="E111" s="22"/>
      <c r="F111" s="21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70"/>
      <c r="CR111" s="70"/>
      <c r="CS111" s="70"/>
      <c r="CT111" s="70"/>
      <c r="CU111" s="70"/>
      <c r="CV111" s="70"/>
      <c r="CW111" s="70"/>
      <c r="CX111" s="70"/>
      <c r="CY111" s="70"/>
      <c r="CZ111" s="70"/>
      <c r="DA111" s="70"/>
      <c r="DB111" s="70"/>
      <c r="DC111" s="70"/>
      <c r="DD111" s="70"/>
      <c r="DE111" s="70"/>
      <c r="DF111" s="70"/>
      <c r="DG111" s="70"/>
      <c r="DH111" s="70"/>
      <c r="DI111" s="70"/>
      <c r="DJ111" s="70"/>
      <c r="DK111" s="70"/>
      <c r="DL111" s="70"/>
      <c r="DM111" s="70"/>
      <c r="DN111" s="70"/>
      <c r="DO111" s="70"/>
      <c r="DP111" s="70"/>
      <c r="DQ111" s="70"/>
      <c r="DR111" s="70"/>
      <c r="DS111" s="70"/>
      <c r="DT111" s="70"/>
      <c r="DU111" s="70"/>
      <c r="DV111" s="70"/>
    </row>
    <row r="112" spans="1:126" ht="50" customHeight="1" x14ac:dyDescent="0.2">
      <c r="A112" s="22"/>
      <c r="B112" s="22"/>
      <c r="C112" s="22"/>
      <c r="D112" s="22"/>
      <c r="E112" s="22"/>
      <c r="F112" s="21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70"/>
      <c r="CR112" s="70"/>
      <c r="CS112" s="70"/>
      <c r="CT112" s="70"/>
      <c r="CU112" s="70"/>
      <c r="CV112" s="70"/>
      <c r="CW112" s="70"/>
      <c r="CX112" s="70"/>
      <c r="CY112" s="70"/>
      <c r="CZ112" s="70"/>
      <c r="DA112" s="70"/>
      <c r="DB112" s="70"/>
      <c r="DC112" s="70"/>
      <c r="DD112" s="70"/>
      <c r="DE112" s="70"/>
      <c r="DF112" s="70"/>
      <c r="DG112" s="70"/>
      <c r="DH112" s="70"/>
      <c r="DI112" s="70"/>
      <c r="DJ112" s="70"/>
      <c r="DK112" s="70"/>
      <c r="DL112" s="70"/>
      <c r="DM112" s="70"/>
      <c r="DN112" s="70"/>
      <c r="DO112" s="70"/>
      <c r="DP112" s="70"/>
      <c r="DQ112" s="70"/>
      <c r="DR112" s="70"/>
      <c r="DS112" s="70"/>
      <c r="DT112" s="70"/>
      <c r="DU112" s="70"/>
      <c r="DV112" s="70"/>
    </row>
    <row r="113" spans="1:126" ht="50" customHeight="1" x14ac:dyDescent="0.2">
      <c r="A113" s="22"/>
      <c r="B113" s="22"/>
      <c r="C113" s="22"/>
      <c r="D113" s="22"/>
      <c r="E113" s="22"/>
      <c r="F113" s="21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70"/>
      <c r="CR113" s="70"/>
      <c r="CS113" s="70"/>
      <c r="CT113" s="70"/>
      <c r="CU113" s="70"/>
      <c r="CV113" s="70"/>
      <c r="CW113" s="70"/>
      <c r="CX113" s="70"/>
      <c r="CY113" s="70"/>
      <c r="CZ113" s="70"/>
      <c r="DA113" s="70"/>
      <c r="DB113" s="70"/>
      <c r="DC113" s="70"/>
      <c r="DD113" s="70"/>
      <c r="DE113" s="70"/>
      <c r="DF113" s="70"/>
      <c r="DG113" s="70"/>
      <c r="DH113" s="70"/>
      <c r="DI113" s="70"/>
      <c r="DJ113" s="70"/>
      <c r="DK113" s="70"/>
      <c r="DL113" s="70"/>
      <c r="DM113" s="70"/>
      <c r="DN113" s="70"/>
      <c r="DO113" s="70"/>
      <c r="DP113" s="70"/>
      <c r="DQ113" s="70"/>
      <c r="DR113" s="70"/>
      <c r="DS113" s="70"/>
      <c r="DT113" s="70"/>
      <c r="DU113" s="70"/>
      <c r="DV113" s="70"/>
    </row>
    <row r="114" spans="1:126" ht="50" customHeight="1" x14ac:dyDescent="0.2">
      <c r="A114" s="22"/>
      <c r="B114" s="22"/>
      <c r="C114" s="22"/>
      <c r="D114" s="22"/>
      <c r="E114" s="22"/>
      <c r="F114" s="21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70"/>
      <c r="CR114" s="70"/>
      <c r="CS114" s="70"/>
      <c r="CT114" s="70"/>
      <c r="CU114" s="70"/>
      <c r="CV114" s="70"/>
      <c r="CW114" s="70"/>
      <c r="CX114" s="70"/>
      <c r="CY114" s="70"/>
      <c r="CZ114" s="70"/>
      <c r="DA114" s="70"/>
      <c r="DB114" s="70"/>
      <c r="DC114" s="70"/>
      <c r="DD114" s="70"/>
      <c r="DE114" s="70"/>
      <c r="DF114" s="70"/>
      <c r="DG114" s="70"/>
      <c r="DH114" s="70"/>
      <c r="DI114" s="70"/>
      <c r="DJ114" s="70"/>
      <c r="DK114" s="70"/>
      <c r="DL114" s="70"/>
      <c r="DM114" s="70"/>
      <c r="DN114" s="70"/>
      <c r="DO114" s="70"/>
      <c r="DP114" s="70"/>
      <c r="DQ114" s="70"/>
      <c r="DR114" s="70"/>
      <c r="DS114" s="70"/>
      <c r="DT114" s="70"/>
      <c r="DU114" s="70"/>
      <c r="DV114" s="70"/>
    </row>
    <row r="115" spans="1:126" ht="50" customHeight="1" x14ac:dyDescent="0.2">
      <c r="A115" s="22"/>
      <c r="B115" s="22"/>
      <c r="C115" s="22"/>
      <c r="D115" s="22"/>
      <c r="E115" s="22"/>
      <c r="F115" s="21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70"/>
      <c r="CR115" s="70"/>
      <c r="CS115" s="70"/>
      <c r="CT115" s="70"/>
      <c r="CU115" s="70"/>
      <c r="CV115" s="70"/>
      <c r="CW115" s="70"/>
      <c r="CX115" s="70"/>
      <c r="CY115" s="70"/>
      <c r="CZ115" s="70"/>
      <c r="DA115" s="70"/>
      <c r="DB115" s="70"/>
      <c r="DC115" s="70"/>
      <c r="DD115" s="70"/>
      <c r="DE115" s="70"/>
      <c r="DF115" s="70"/>
      <c r="DG115" s="70"/>
      <c r="DH115" s="70"/>
      <c r="DI115" s="70"/>
      <c r="DJ115" s="70"/>
      <c r="DK115" s="70"/>
      <c r="DL115" s="70"/>
      <c r="DM115" s="70"/>
      <c r="DN115" s="70"/>
      <c r="DO115" s="70"/>
      <c r="DP115" s="70"/>
      <c r="DQ115" s="70"/>
      <c r="DR115" s="70"/>
      <c r="DS115" s="70"/>
      <c r="DT115" s="70"/>
      <c r="DU115" s="70"/>
      <c r="DV115" s="70"/>
    </row>
    <row r="116" spans="1:126" ht="50" customHeight="1" x14ac:dyDescent="0.2">
      <c r="A116" s="22"/>
      <c r="B116" s="22"/>
      <c r="C116" s="22"/>
      <c r="D116" s="22"/>
      <c r="E116" s="22"/>
      <c r="F116" s="21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70"/>
      <c r="CR116" s="70"/>
      <c r="CS116" s="70"/>
      <c r="CT116" s="70"/>
      <c r="CU116" s="70"/>
      <c r="CV116" s="70"/>
      <c r="CW116" s="70"/>
      <c r="CX116" s="70"/>
      <c r="CY116" s="70"/>
      <c r="CZ116" s="70"/>
      <c r="DA116" s="70"/>
      <c r="DB116" s="70"/>
      <c r="DC116" s="70"/>
      <c r="DD116" s="70"/>
      <c r="DE116" s="70"/>
      <c r="DF116" s="70"/>
      <c r="DG116" s="70"/>
      <c r="DH116" s="70"/>
      <c r="DI116" s="70"/>
      <c r="DJ116" s="70"/>
      <c r="DK116" s="70"/>
      <c r="DL116" s="70"/>
      <c r="DM116" s="70"/>
      <c r="DN116" s="70"/>
      <c r="DO116" s="70"/>
      <c r="DP116" s="70"/>
      <c r="DQ116" s="70"/>
      <c r="DR116" s="70"/>
      <c r="DS116" s="70"/>
      <c r="DT116" s="70"/>
      <c r="DU116" s="70"/>
      <c r="DV116" s="70"/>
    </row>
    <row r="117" spans="1:126" ht="50" customHeight="1" x14ac:dyDescent="0.2">
      <c r="A117" s="22"/>
      <c r="B117" s="22"/>
      <c r="C117" s="22"/>
      <c r="D117" s="22"/>
      <c r="E117" s="22"/>
      <c r="F117" s="21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70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70"/>
      <c r="DU117" s="70"/>
      <c r="DV117" s="70"/>
    </row>
    <row r="118" spans="1:126" ht="50" customHeight="1" x14ac:dyDescent="0.2">
      <c r="A118" s="22"/>
      <c r="B118" s="22"/>
      <c r="C118" s="22"/>
      <c r="D118" s="22"/>
      <c r="E118" s="22"/>
      <c r="F118" s="21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70"/>
      <c r="CR118" s="70"/>
      <c r="CS118" s="70"/>
      <c r="CT118" s="70"/>
      <c r="CU118" s="70"/>
      <c r="CV118" s="70"/>
      <c r="CW118" s="70"/>
      <c r="CX118" s="70"/>
      <c r="CY118" s="70"/>
      <c r="CZ118" s="70"/>
      <c r="DA118" s="70"/>
      <c r="DB118" s="70"/>
      <c r="DC118" s="70"/>
      <c r="DD118" s="70"/>
      <c r="DE118" s="70"/>
      <c r="DF118" s="70"/>
      <c r="DG118" s="70"/>
      <c r="DH118" s="70"/>
      <c r="DI118" s="70"/>
      <c r="DJ118" s="70"/>
      <c r="DK118" s="70"/>
      <c r="DL118" s="70"/>
      <c r="DM118" s="70"/>
      <c r="DN118" s="70"/>
      <c r="DO118" s="70"/>
      <c r="DP118" s="70"/>
      <c r="DQ118" s="70"/>
      <c r="DR118" s="70"/>
      <c r="DS118" s="70"/>
      <c r="DT118" s="70"/>
      <c r="DU118" s="70"/>
      <c r="DV118" s="70"/>
    </row>
    <row r="119" spans="1:126" ht="50" customHeight="1" x14ac:dyDescent="0.2">
      <c r="A119" s="22"/>
      <c r="B119" s="22"/>
      <c r="C119" s="22"/>
      <c r="D119" s="22"/>
      <c r="E119" s="22"/>
      <c r="F119" s="21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70"/>
      <c r="CR119" s="70"/>
      <c r="CS119" s="70"/>
      <c r="CT119" s="70"/>
      <c r="CU119" s="70"/>
      <c r="CV119" s="70"/>
      <c r="CW119" s="70"/>
      <c r="CX119" s="70"/>
      <c r="CY119" s="70"/>
      <c r="CZ119" s="70"/>
      <c r="DA119" s="70"/>
      <c r="DB119" s="70"/>
      <c r="DC119" s="70"/>
      <c r="DD119" s="70"/>
      <c r="DE119" s="70"/>
      <c r="DF119" s="70"/>
      <c r="DG119" s="70"/>
      <c r="DH119" s="70"/>
      <c r="DI119" s="70"/>
      <c r="DJ119" s="70"/>
      <c r="DK119" s="70"/>
      <c r="DL119" s="70"/>
      <c r="DM119" s="70"/>
      <c r="DN119" s="70"/>
      <c r="DO119" s="70"/>
      <c r="DP119" s="70"/>
      <c r="DQ119" s="70"/>
      <c r="DR119" s="70"/>
      <c r="DS119" s="70"/>
      <c r="DT119" s="70"/>
      <c r="DU119" s="70"/>
      <c r="DV119" s="70"/>
    </row>
    <row r="120" spans="1:126" ht="50" customHeight="1" x14ac:dyDescent="0.2">
      <c r="A120" s="22"/>
      <c r="B120" s="22"/>
      <c r="C120" s="22"/>
      <c r="D120" s="22"/>
      <c r="E120" s="22"/>
      <c r="F120" s="21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70"/>
      <c r="CR120" s="70"/>
      <c r="CS120" s="70"/>
      <c r="CT120" s="70"/>
      <c r="CU120" s="70"/>
      <c r="CV120" s="70"/>
      <c r="CW120" s="70"/>
      <c r="CX120" s="70"/>
      <c r="CY120" s="70"/>
      <c r="CZ120" s="70"/>
      <c r="DA120" s="70"/>
      <c r="DB120" s="70"/>
      <c r="DC120" s="70"/>
      <c r="DD120" s="70"/>
      <c r="DE120" s="70"/>
      <c r="DF120" s="70"/>
      <c r="DG120" s="70"/>
      <c r="DH120" s="70"/>
      <c r="DI120" s="70"/>
      <c r="DJ120" s="70"/>
      <c r="DK120" s="70"/>
      <c r="DL120" s="70"/>
      <c r="DM120" s="70"/>
      <c r="DN120" s="70"/>
      <c r="DO120" s="70"/>
      <c r="DP120" s="70"/>
      <c r="DQ120" s="70"/>
      <c r="DR120" s="70"/>
      <c r="DS120" s="70"/>
      <c r="DT120" s="70"/>
      <c r="DU120" s="70"/>
      <c r="DV120" s="70"/>
    </row>
    <row r="121" spans="1:126" ht="50" customHeight="1" x14ac:dyDescent="0.2">
      <c r="A121" s="22"/>
      <c r="B121" s="22"/>
      <c r="C121" s="22"/>
      <c r="D121" s="22"/>
      <c r="E121" s="22"/>
      <c r="F121" s="21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70"/>
      <c r="CR121" s="70"/>
      <c r="CS121" s="70"/>
      <c r="CT121" s="70"/>
      <c r="CU121" s="70"/>
      <c r="CV121" s="70"/>
      <c r="CW121" s="70"/>
      <c r="CX121" s="70"/>
      <c r="CY121" s="70"/>
      <c r="CZ121" s="70"/>
      <c r="DA121" s="70"/>
      <c r="DB121" s="70"/>
      <c r="DC121" s="70"/>
      <c r="DD121" s="70"/>
      <c r="DE121" s="70"/>
      <c r="DF121" s="70"/>
      <c r="DG121" s="70"/>
      <c r="DH121" s="70"/>
      <c r="DI121" s="70"/>
      <c r="DJ121" s="70"/>
      <c r="DK121" s="70"/>
      <c r="DL121" s="70"/>
      <c r="DM121" s="70"/>
      <c r="DN121" s="70"/>
      <c r="DO121" s="70"/>
      <c r="DP121" s="70"/>
      <c r="DQ121" s="70"/>
      <c r="DR121" s="70"/>
      <c r="DS121" s="70"/>
      <c r="DT121" s="70"/>
      <c r="DU121" s="70"/>
      <c r="DV121" s="70"/>
    </row>
    <row r="122" spans="1:126" ht="50" customHeight="1" x14ac:dyDescent="0.2">
      <c r="A122" s="22"/>
      <c r="B122" s="22"/>
      <c r="C122" s="22"/>
      <c r="D122" s="22"/>
      <c r="E122" s="22"/>
      <c r="F122" s="21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70"/>
      <c r="CR122" s="70"/>
      <c r="CS122" s="70"/>
      <c r="CT122" s="70"/>
      <c r="CU122" s="70"/>
      <c r="CV122" s="70"/>
      <c r="CW122" s="70"/>
      <c r="CX122" s="70"/>
      <c r="CY122" s="70"/>
      <c r="CZ122" s="70"/>
      <c r="DA122" s="70"/>
      <c r="DB122" s="70"/>
      <c r="DC122" s="70"/>
      <c r="DD122" s="70"/>
      <c r="DE122" s="70"/>
      <c r="DF122" s="70"/>
      <c r="DG122" s="70"/>
      <c r="DH122" s="70"/>
      <c r="DI122" s="70"/>
      <c r="DJ122" s="70"/>
      <c r="DK122" s="70"/>
      <c r="DL122" s="70"/>
      <c r="DM122" s="70"/>
      <c r="DN122" s="70"/>
      <c r="DO122" s="70"/>
      <c r="DP122" s="70"/>
      <c r="DQ122" s="70"/>
      <c r="DR122" s="70"/>
      <c r="DS122" s="70"/>
      <c r="DT122" s="70"/>
      <c r="DU122" s="70"/>
      <c r="DV122" s="70"/>
    </row>
    <row r="123" spans="1:126" ht="50" customHeight="1" x14ac:dyDescent="0.2">
      <c r="A123" s="22"/>
      <c r="B123" s="22"/>
      <c r="C123" s="22"/>
      <c r="D123" s="22"/>
      <c r="E123" s="22"/>
      <c r="F123" s="21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70"/>
      <c r="CR123" s="70"/>
      <c r="CS123" s="70"/>
      <c r="CT123" s="70"/>
      <c r="CU123" s="70"/>
      <c r="CV123" s="70"/>
      <c r="CW123" s="70"/>
      <c r="CX123" s="70"/>
      <c r="CY123" s="70"/>
      <c r="CZ123" s="70"/>
      <c r="DA123" s="70"/>
      <c r="DB123" s="70"/>
      <c r="DC123" s="70"/>
      <c r="DD123" s="70"/>
      <c r="DE123" s="70"/>
      <c r="DF123" s="70"/>
      <c r="DG123" s="70"/>
      <c r="DH123" s="70"/>
      <c r="DI123" s="70"/>
      <c r="DJ123" s="70"/>
      <c r="DK123" s="70"/>
      <c r="DL123" s="70"/>
      <c r="DM123" s="70"/>
      <c r="DN123" s="70"/>
      <c r="DO123" s="70"/>
      <c r="DP123" s="70"/>
      <c r="DQ123" s="70"/>
      <c r="DR123" s="70"/>
      <c r="DS123" s="70"/>
      <c r="DT123" s="70"/>
      <c r="DU123" s="70"/>
      <c r="DV123" s="70"/>
    </row>
    <row r="124" spans="1:126" ht="50" customHeight="1" x14ac:dyDescent="0.2">
      <c r="A124" s="22"/>
      <c r="B124" s="22"/>
      <c r="C124" s="22"/>
      <c r="D124" s="22"/>
      <c r="E124" s="22"/>
      <c r="F124" s="21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70"/>
      <c r="CR124" s="70"/>
      <c r="CS124" s="70"/>
      <c r="CT124" s="70"/>
      <c r="CU124" s="70"/>
      <c r="CV124" s="70"/>
      <c r="CW124" s="70"/>
      <c r="CX124" s="70"/>
      <c r="CY124" s="70"/>
      <c r="CZ124" s="70"/>
      <c r="DA124" s="70"/>
      <c r="DB124" s="70"/>
      <c r="DC124" s="70"/>
      <c r="DD124" s="70"/>
      <c r="DE124" s="70"/>
      <c r="DF124" s="70"/>
      <c r="DG124" s="70"/>
      <c r="DH124" s="70"/>
      <c r="DI124" s="70"/>
      <c r="DJ124" s="70"/>
      <c r="DK124" s="70"/>
      <c r="DL124" s="70"/>
      <c r="DM124" s="70"/>
      <c r="DN124" s="70"/>
      <c r="DO124" s="70"/>
      <c r="DP124" s="70"/>
      <c r="DQ124" s="70"/>
      <c r="DR124" s="70"/>
      <c r="DS124" s="70"/>
      <c r="DT124" s="70"/>
      <c r="DU124" s="70"/>
      <c r="DV124" s="70"/>
    </row>
    <row r="125" spans="1:126" ht="50" customHeight="1" x14ac:dyDescent="0.2">
      <c r="A125" s="22"/>
      <c r="B125" s="22"/>
      <c r="C125" s="22"/>
      <c r="D125" s="22"/>
      <c r="E125" s="22"/>
      <c r="F125" s="21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70"/>
      <c r="CR125" s="70"/>
      <c r="CS125" s="70"/>
      <c r="CT125" s="70"/>
      <c r="CU125" s="70"/>
      <c r="CV125" s="70"/>
      <c r="CW125" s="70"/>
      <c r="CX125" s="70"/>
      <c r="CY125" s="70"/>
      <c r="CZ125" s="70"/>
      <c r="DA125" s="70"/>
      <c r="DB125" s="70"/>
      <c r="DC125" s="70"/>
      <c r="DD125" s="70"/>
      <c r="DE125" s="70"/>
      <c r="DF125" s="70"/>
      <c r="DG125" s="70"/>
      <c r="DH125" s="70"/>
      <c r="DI125" s="70"/>
      <c r="DJ125" s="70"/>
      <c r="DK125" s="70"/>
      <c r="DL125" s="70"/>
      <c r="DM125" s="70"/>
      <c r="DN125" s="70"/>
      <c r="DO125" s="70"/>
      <c r="DP125" s="70"/>
      <c r="DQ125" s="70"/>
      <c r="DR125" s="70"/>
      <c r="DS125" s="70"/>
      <c r="DT125" s="70"/>
      <c r="DU125" s="70"/>
      <c r="DV125" s="70"/>
    </row>
    <row r="126" spans="1:126" ht="50" customHeight="1" x14ac:dyDescent="0.2">
      <c r="A126" s="22"/>
      <c r="B126" s="22"/>
      <c r="C126" s="22"/>
      <c r="D126" s="22"/>
      <c r="E126" s="22"/>
      <c r="F126" s="21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70"/>
      <c r="CR126" s="70"/>
      <c r="CS126" s="70"/>
      <c r="CT126" s="70"/>
      <c r="CU126" s="70"/>
      <c r="CV126" s="70"/>
      <c r="CW126" s="70"/>
      <c r="CX126" s="70"/>
      <c r="CY126" s="70"/>
      <c r="CZ126" s="70"/>
      <c r="DA126" s="70"/>
      <c r="DB126" s="70"/>
      <c r="DC126" s="70"/>
      <c r="DD126" s="70"/>
      <c r="DE126" s="70"/>
      <c r="DF126" s="70"/>
      <c r="DG126" s="70"/>
      <c r="DH126" s="70"/>
      <c r="DI126" s="70"/>
      <c r="DJ126" s="70"/>
      <c r="DK126" s="70"/>
      <c r="DL126" s="70"/>
      <c r="DM126" s="70"/>
      <c r="DN126" s="70"/>
      <c r="DO126" s="70"/>
      <c r="DP126" s="70"/>
      <c r="DQ126" s="70"/>
      <c r="DR126" s="70"/>
      <c r="DS126" s="70"/>
      <c r="DT126" s="70"/>
      <c r="DU126" s="70"/>
      <c r="DV126" s="70"/>
    </row>
    <row r="127" spans="1:126" ht="50" customHeight="1" x14ac:dyDescent="0.2">
      <c r="A127" s="22"/>
      <c r="B127" s="22"/>
      <c r="C127" s="22"/>
      <c r="D127" s="22"/>
      <c r="E127" s="22"/>
      <c r="F127" s="21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70"/>
      <c r="CR127" s="70"/>
      <c r="CS127" s="70"/>
      <c r="CT127" s="70"/>
      <c r="CU127" s="70"/>
      <c r="CV127" s="70"/>
      <c r="CW127" s="70"/>
      <c r="CX127" s="70"/>
      <c r="CY127" s="70"/>
      <c r="CZ127" s="70"/>
      <c r="DA127" s="70"/>
      <c r="DB127" s="70"/>
      <c r="DC127" s="70"/>
      <c r="DD127" s="70"/>
      <c r="DE127" s="70"/>
      <c r="DF127" s="70"/>
      <c r="DG127" s="70"/>
      <c r="DH127" s="70"/>
      <c r="DI127" s="70"/>
      <c r="DJ127" s="70"/>
      <c r="DK127" s="70"/>
      <c r="DL127" s="70"/>
      <c r="DM127" s="70"/>
      <c r="DN127" s="70"/>
      <c r="DO127" s="70"/>
      <c r="DP127" s="70"/>
      <c r="DQ127" s="70"/>
      <c r="DR127" s="70"/>
      <c r="DS127" s="70"/>
      <c r="DT127" s="70"/>
      <c r="DU127" s="70"/>
      <c r="DV127" s="70"/>
    </row>
    <row r="128" spans="1:126" ht="50" customHeight="1" x14ac:dyDescent="0.2">
      <c r="A128" s="22"/>
      <c r="B128" s="22"/>
      <c r="C128" s="22"/>
      <c r="D128" s="22"/>
      <c r="E128" s="22"/>
      <c r="F128" s="21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70"/>
      <c r="CR128" s="70"/>
      <c r="CS128" s="70"/>
      <c r="CT128" s="70"/>
      <c r="CU128" s="70"/>
      <c r="CV128" s="70"/>
      <c r="CW128" s="70"/>
      <c r="CX128" s="70"/>
      <c r="CY128" s="70"/>
      <c r="CZ128" s="70"/>
      <c r="DA128" s="70"/>
      <c r="DB128" s="70"/>
      <c r="DC128" s="70"/>
      <c r="DD128" s="70"/>
      <c r="DE128" s="70"/>
      <c r="DF128" s="70"/>
      <c r="DG128" s="70"/>
      <c r="DH128" s="70"/>
      <c r="DI128" s="70"/>
      <c r="DJ128" s="70"/>
      <c r="DK128" s="70"/>
      <c r="DL128" s="70"/>
      <c r="DM128" s="70"/>
      <c r="DN128" s="70"/>
      <c r="DO128" s="70"/>
      <c r="DP128" s="70"/>
      <c r="DQ128" s="70"/>
      <c r="DR128" s="70"/>
      <c r="DS128" s="70"/>
      <c r="DT128" s="70"/>
      <c r="DU128" s="70"/>
      <c r="DV128" s="70"/>
    </row>
    <row r="129" spans="1:126" ht="50" customHeight="1" x14ac:dyDescent="0.2">
      <c r="A129" s="22"/>
      <c r="B129" s="22"/>
      <c r="C129" s="22"/>
      <c r="D129" s="22"/>
      <c r="E129" s="22"/>
      <c r="F129" s="21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70"/>
      <c r="CR129" s="70"/>
      <c r="CS129" s="70"/>
      <c r="CT129" s="70"/>
      <c r="CU129" s="70"/>
      <c r="CV129" s="70"/>
      <c r="CW129" s="70"/>
      <c r="CX129" s="70"/>
      <c r="CY129" s="70"/>
      <c r="CZ129" s="70"/>
      <c r="DA129" s="70"/>
      <c r="DB129" s="70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70"/>
      <c r="DU129" s="70"/>
      <c r="DV129" s="70"/>
    </row>
  </sheetData>
  <mergeCells count="35">
    <mergeCell ref="Q4:R4"/>
    <mergeCell ref="Q5:R5"/>
    <mergeCell ref="Q7:R7"/>
    <mergeCell ref="Q8:R8"/>
    <mergeCell ref="G4:H4"/>
    <mergeCell ref="I4:J4"/>
    <mergeCell ref="K4:L4"/>
    <mergeCell ref="M4:N4"/>
    <mergeCell ref="G5:H5"/>
    <mergeCell ref="K8:L8"/>
    <mergeCell ref="M8:N8"/>
    <mergeCell ref="G7:H7"/>
    <mergeCell ref="I7:J7"/>
    <mergeCell ref="I5:J5"/>
    <mergeCell ref="K5:L5"/>
    <mergeCell ref="M5:N5"/>
    <mergeCell ref="A1:W1"/>
    <mergeCell ref="G2:J2"/>
    <mergeCell ref="G3:H3"/>
    <mergeCell ref="I3:J3"/>
    <mergeCell ref="K3:L3"/>
    <mergeCell ref="M3:N3"/>
    <mergeCell ref="P2:S2"/>
    <mergeCell ref="G9:H9"/>
    <mergeCell ref="I9:J9"/>
    <mergeCell ref="K9:L9"/>
    <mergeCell ref="M9:N9"/>
    <mergeCell ref="G8:H8"/>
    <mergeCell ref="I8:J8"/>
    <mergeCell ref="K7:L7"/>
    <mergeCell ref="M7:N7"/>
    <mergeCell ref="K6:L6"/>
    <mergeCell ref="M6:N6"/>
    <mergeCell ref="G6:H6"/>
    <mergeCell ref="I6:J6"/>
  </mergeCells>
  <conditionalFormatting sqref="D21:D22">
    <cfRule type="expression" dxfId="84" priority="2242" stopIfTrue="1">
      <formula>OR(SUM($D$21:$D$22) &gt; 3,OR($D$21&lt; 0,$D$22 &lt; 0), OR($D$21&gt;2, $D$22&gt;2))</formula>
    </cfRule>
    <cfRule type="cellIs" dxfId="83" priority="2249" stopIfTrue="1" operator="equal">
      <formula>2</formula>
    </cfRule>
  </conditionalFormatting>
  <conditionalFormatting sqref="D21">
    <cfRule type="expression" dxfId="82" priority="2248" stopIfTrue="1">
      <formula>$D$22=2</formula>
    </cfRule>
  </conditionalFormatting>
  <conditionalFormatting sqref="D22">
    <cfRule type="expression" dxfId="81" priority="2247" stopIfTrue="1">
      <formula>$D$21=2</formula>
    </cfRule>
  </conditionalFormatting>
  <conditionalFormatting sqref="S4:S5">
    <cfRule type="cellIs" dxfId="7" priority="9" stopIfTrue="1" operator="equal">
      <formula>2</formula>
    </cfRule>
    <cfRule type="expression" dxfId="6" priority="2" stopIfTrue="1">
      <formula>OR(SUM($S$4:$S$5) &gt; 3,OR($S$4&lt; 0,$S$5 &lt; 0), OR($S$4&gt;2, $S$5&gt;2))</formula>
    </cfRule>
  </conditionalFormatting>
  <conditionalFormatting sqref="S4">
    <cfRule type="expression" dxfId="9" priority="8" stopIfTrue="1">
      <formula>$S$5=2</formula>
    </cfRule>
  </conditionalFormatting>
  <conditionalFormatting sqref="S5">
    <cfRule type="expression" dxfId="8" priority="7" stopIfTrue="1">
      <formula>$S$4=2</formula>
    </cfRule>
  </conditionalFormatting>
  <conditionalFormatting sqref="I6:I7">
    <cfRule type="expression" dxfId="5" priority="2250" stopIfTrue="1">
      <formula>AND(OR($S$4=2,$S$5=2),SUM($S$4:$S$5)&lt;=3,NOT(OR($S$4&lt;0,$S$5&lt;0)))</formula>
    </cfRule>
  </conditionalFormatting>
  <conditionalFormatting sqref="S7:S8">
    <cfRule type="cellIs" dxfId="2" priority="5" stopIfTrue="1" operator="equal">
      <formula>2</formula>
    </cfRule>
    <cfRule type="expression" dxfId="1" priority="1" stopIfTrue="1">
      <formula>OR(SUM($S$7:$S$8) &gt; 3,OR($S$7&lt; 0,$S$8 &lt; 0), OR($S$7&gt;2, $S$8&gt;2))</formula>
    </cfRule>
  </conditionalFormatting>
  <conditionalFormatting sqref="S7">
    <cfRule type="expression" dxfId="4" priority="4" stopIfTrue="1">
      <formula>$S$8=2</formula>
    </cfRule>
  </conditionalFormatting>
  <conditionalFormatting sqref="S8">
    <cfRule type="expression" dxfId="3" priority="3" stopIfTrue="1">
      <formula>$S$7=2</formula>
    </cfRule>
  </conditionalFormatting>
  <conditionalFormatting sqref="I8:I9">
    <cfRule type="expression" dxfId="0" priority="2251" stopIfTrue="1">
      <formula>AND(OR($S$7=2,$S$8=2),SUM($S$7:$S$8)&lt;=3,NOT(OR($S$7&lt;0,$S$8&lt;0)))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7DB0-5174-E04A-BB02-EC2C4AAC3CFB}">
  <sheetPr codeName="Sheet4"/>
  <dimension ref="D1:AB13"/>
  <sheetViews>
    <sheetView zoomScale="92" zoomScaleNormal="75" workbookViewId="0">
      <selection activeCell="AG7" sqref="AG7"/>
    </sheetView>
  </sheetViews>
  <sheetFormatPr baseColWidth="10" defaultColWidth="8.33203125" defaultRowHeight="50" customHeight="1" x14ac:dyDescent="0.2"/>
  <cols>
    <col min="1" max="16384" width="8.33203125" style="31"/>
  </cols>
  <sheetData>
    <row r="1" spans="4:28" ht="50" customHeight="1" thickBot="1" x14ac:dyDescent="0.25"/>
    <row r="2" spans="4:28" ht="50" customHeight="1" thickBot="1" x14ac:dyDescent="0.25">
      <c r="D2" s="149" t="s">
        <v>9</v>
      </c>
      <c r="E2" s="150"/>
      <c r="F2" s="150"/>
      <c r="G2" s="151"/>
      <c r="K2" s="165" t="s">
        <v>14</v>
      </c>
      <c r="L2" s="166"/>
      <c r="M2" s="166"/>
      <c r="N2" s="167"/>
      <c r="O2" s="54" t="b">
        <v>1</v>
      </c>
      <c r="P2" s="54" t="b">
        <v>0</v>
      </c>
      <c r="R2" s="172" t="s">
        <v>16</v>
      </c>
      <c r="S2" s="173"/>
      <c r="T2" s="173"/>
      <c r="U2" s="174"/>
    </row>
    <row r="3" spans="4:28" ht="50" customHeight="1" x14ac:dyDescent="0.2">
      <c r="D3" s="156" t="s">
        <v>21</v>
      </c>
      <c r="E3" s="157"/>
      <c r="F3" s="157"/>
      <c r="G3" s="157"/>
      <c r="H3" s="145"/>
      <c r="I3" s="146"/>
      <c r="K3" s="168" t="s">
        <v>15</v>
      </c>
      <c r="L3" s="169"/>
      <c r="M3" s="169"/>
      <c r="N3" s="169"/>
      <c r="O3" s="48"/>
      <c r="P3" s="49"/>
      <c r="Q3" s="31">
        <v>2</v>
      </c>
      <c r="R3" s="175" t="s">
        <v>17</v>
      </c>
      <c r="S3" s="176"/>
      <c r="T3" s="176"/>
      <c r="U3" s="176"/>
      <c r="V3" s="32">
        <v>3</v>
      </c>
      <c r="Z3" s="34"/>
      <c r="AA3" s="34"/>
      <c r="AB3" s="34"/>
    </row>
    <row r="4" spans="4:28" ht="50" customHeight="1" x14ac:dyDescent="0.2">
      <c r="D4" s="154" t="s">
        <v>22</v>
      </c>
      <c r="E4" s="155"/>
      <c r="F4" s="155"/>
      <c r="G4" s="155"/>
      <c r="H4" s="147"/>
      <c r="I4" s="148"/>
      <c r="K4" s="170"/>
      <c r="L4" s="171"/>
      <c r="M4" s="171"/>
      <c r="N4" s="171"/>
      <c r="O4" s="27"/>
      <c r="P4" s="25"/>
      <c r="R4" s="177" t="s">
        <v>18</v>
      </c>
      <c r="S4" s="178"/>
      <c r="T4" s="178"/>
      <c r="U4" s="178"/>
      <c r="V4" s="33">
        <v>3</v>
      </c>
    </row>
    <row r="5" spans="4:28" ht="50" customHeight="1" x14ac:dyDescent="0.2">
      <c r="D5" s="154" t="s">
        <v>11</v>
      </c>
      <c r="E5" s="155"/>
      <c r="F5" s="155"/>
      <c r="G5" s="155"/>
      <c r="H5" s="152"/>
      <c r="I5" s="153"/>
      <c r="K5" s="170"/>
      <c r="L5" s="171"/>
      <c r="M5" s="171"/>
      <c r="N5" s="171"/>
      <c r="O5" s="27"/>
      <c r="P5" s="25"/>
      <c r="R5" s="177" t="s">
        <v>39</v>
      </c>
      <c r="S5" s="178"/>
      <c r="T5" s="178"/>
      <c r="U5" s="178"/>
      <c r="V5" s="33">
        <v>3</v>
      </c>
    </row>
    <row r="6" spans="4:28" ht="50" customHeight="1" x14ac:dyDescent="0.2">
      <c r="D6" s="154" t="s">
        <v>20</v>
      </c>
      <c r="E6" s="158"/>
      <c r="F6" s="158"/>
      <c r="G6" s="158"/>
      <c r="H6" s="161"/>
      <c r="I6" s="162"/>
      <c r="K6" s="50"/>
      <c r="L6" s="27"/>
      <c r="M6" s="27"/>
      <c r="N6" s="27"/>
      <c r="O6" s="27"/>
      <c r="P6" s="25"/>
      <c r="R6" s="177" t="s">
        <v>19</v>
      </c>
      <c r="S6" s="178"/>
      <c r="T6" s="178"/>
      <c r="U6" s="178"/>
      <c r="V6" s="33">
        <v>5</v>
      </c>
    </row>
    <row r="7" spans="4:28" ht="50" customHeight="1" x14ac:dyDescent="0.2">
      <c r="D7" s="154" t="s">
        <v>12</v>
      </c>
      <c r="E7" s="158"/>
      <c r="F7" s="158"/>
      <c r="G7" s="158"/>
      <c r="H7" s="163"/>
      <c r="I7" s="164"/>
      <c r="K7" s="50"/>
      <c r="L7" s="27"/>
      <c r="M7" s="27"/>
      <c r="N7" s="27"/>
      <c r="O7" s="27"/>
      <c r="P7" s="25"/>
      <c r="R7" s="185" t="s">
        <v>42</v>
      </c>
      <c r="S7" s="178"/>
      <c r="T7" s="178"/>
      <c r="U7" s="178"/>
      <c r="V7" s="33">
        <v>32</v>
      </c>
    </row>
    <row r="8" spans="4:28" ht="50" customHeight="1" x14ac:dyDescent="0.2">
      <c r="D8" s="154" t="s">
        <v>13</v>
      </c>
      <c r="E8" s="158"/>
      <c r="F8" s="158"/>
      <c r="G8" s="158"/>
      <c r="H8" s="179"/>
      <c r="I8" s="180"/>
      <c r="K8" s="50"/>
      <c r="L8" s="27"/>
      <c r="M8" s="27"/>
      <c r="N8" s="27"/>
      <c r="O8" s="27"/>
      <c r="P8" s="25"/>
      <c r="R8" s="183"/>
      <c r="S8" s="184"/>
      <c r="T8" s="184"/>
      <c r="U8" s="184"/>
      <c r="V8" s="33"/>
    </row>
    <row r="9" spans="4:28" ht="50" customHeight="1" x14ac:dyDescent="0.2">
      <c r="D9" s="154" t="s">
        <v>10</v>
      </c>
      <c r="E9" s="158"/>
      <c r="F9" s="158"/>
      <c r="G9" s="158"/>
      <c r="H9" s="181"/>
      <c r="I9" s="182"/>
      <c r="K9" s="50"/>
      <c r="L9" s="27"/>
      <c r="M9" s="27"/>
      <c r="N9" s="27"/>
      <c r="O9" s="27"/>
      <c r="P9" s="25"/>
      <c r="R9" s="183"/>
      <c r="S9" s="184"/>
      <c r="T9" s="184"/>
      <c r="U9" s="184"/>
      <c r="V9" s="33"/>
    </row>
    <row r="10" spans="4:28" ht="50" customHeight="1" x14ac:dyDescent="0.2">
      <c r="D10" s="159" t="s">
        <v>40</v>
      </c>
      <c r="E10" s="160"/>
      <c r="F10" s="160"/>
      <c r="G10" s="160"/>
      <c r="H10" s="143"/>
      <c r="I10" s="144"/>
      <c r="K10" s="50"/>
      <c r="L10" s="27"/>
      <c r="M10" s="27"/>
      <c r="N10" s="27"/>
      <c r="O10" s="27"/>
      <c r="P10" s="25"/>
      <c r="R10" s="183"/>
      <c r="S10" s="184"/>
      <c r="T10" s="184"/>
      <c r="U10" s="184"/>
      <c r="V10" s="33"/>
    </row>
    <row r="11" spans="4:28" ht="50" customHeight="1" x14ac:dyDescent="0.2">
      <c r="D11" s="159" t="s">
        <v>41</v>
      </c>
      <c r="E11" s="160"/>
      <c r="F11" s="160"/>
      <c r="G11" s="160"/>
      <c r="H11" s="143"/>
      <c r="I11" s="144"/>
      <c r="K11" s="50"/>
      <c r="L11" s="27"/>
      <c r="M11" s="27"/>
      <c r="N11" s="27"/>
      <c r="O11" s="27"/>
      <c r="P11" s="25"/>
      <c r="R11" s="26"/>
      <c r="S11" s="27"/>
      <c r="T11" s="27"/>
      <c r="U11" s="27"/>
      <c r="V11" s="25"/>
    </row>
    <row r="12" spans="4:28" ht="50" customHeight="1" x14ac:dyDescent="0.2">
      <c r="D12" s="26"/>
      <c r="E12" s="27"/>
      <c r="F12" s="27"/>
      <c r="G12" s="27"/>
      <c r="H12" s="27"/>
      <c r="I12" s="25"/>
      <c r="K12" s="50"/>
      <c r="L12" s="27"/>
      <c r="M12" s="27"/>
      <c r="N12" s="27"/>
      <c r="O12" s="27"/>
      <c r="P12" s="25"/>
      <c r="R12" s="26"/>
      <c r="S12" s="27"/>
      <c r="T12" s="27"/>
      <c r="U12" s="27"/>
      <c r="V12" s="25"/>
    </row>
    <row r="13" spans="4:28" ht="50" customHeight="1" thickBot="1" x14ac:dyDescent="0.25">
      <c r="D13" s="28"/>
      <c r="E13" s="29"/>
      <c r="F13" s="29"/>
      <c r="G13" s="29"/>
      <c r="H13" s="29"/>
      <c r="I13" s="30"/>
      <c r="K13" s="51"/>
      <c r="L13" s="52"/>
      <c r="M13" s="52"/>
      <c r="N13" s="52"/>
      <c r="O13" s="52"/>
      <c r="P13" s="53"/>
      <c r="R13" s="28"/>
      <c r="S13" s="29"/>
      <c r="T13" s="29"/>
      <c r="U13" s="29"/>
      <c r="V13" s="30"/>
    </row>
  </sheetData>
  <mergeCells count="32">
    <mergeCell ref="H8:I8"/>
    <mergeCell ref="H9:I9"/>
    <mergeCell ref="H10:I10"/>
    <mergeCell ref="R10:U10"/>
    <mergeCell ref="K5:N5"/>
    <mergeCell ref="R5:U5"/>
    <mergeCell ref="R6:U6"/>
    <mergeCell ref="R7:U7"/>
    <mergeCell ref="R8:U8"/>
    <mergeCell ref="R9:U9"/>
    <mergeCell ref="K2:N2"/>
    <mergeCell ref="K3:N3"/>
    <mergeCell ref="K4:N4"/>
    <mergeCell ref="R2:U2"/>
    <mergeCell ref="R3:U3"/>
    <mergeCell ref="R4:U4"/>
    <mergeCell ref="H11:I11"/>
    <mergeCell ref="H3:I3"/>
    <mergeCell ref="H4:I4"/>
    <mergeCell ref="D2:G2"/>
    <mergeCell ref="H5:I5"/>
    <mergeCell ref="D4:G4"/>
    <mergeCell ref="D5:G5"/>
    <mergeCell ref="D3:G3"/>
    <mergeCell ref="D7:G7"/>
    <mergeCell ref="D8:G8"/>
    <mergeCell ref="D9:G9"/>
    <mergeCell ref="D10:G10"/>
    <mergeCell ref="D11:G11"/>
    <mergeCell ref="D6:G6"/>
    <mergeCell ref="H6:I6"/>
    <mergeCell ref="H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Option Button 1_1">
              <controlPr defaultSize="0" autoFill="0" autoLine="0" autoPict="0">
                <anchor moveWithCells="1">
                  <from>
                    <xdr:col>14</xdr:col>
                    <xdr:colOff>190500</xdr:colOff>
                    <xdr:row>2</xdr:row>
                    <xdr:rowOff>38100</xdr:rowOff>
                  </from>
                  <to>
                    <xdr:col>14</xdr:col>
                    <xdr:colOff>609600</xdr:colOff>
                    <xdr:row>2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Option Button 1_2">
              <controlPr defaultSize="0" autoFill="0" autoLine="0" autoPict="0">
                <anchor moveWithCells="1">
                  <from>
                    <xdr:col>15</xdr:col>
                    <xdr:colOff>190500</xdr:colOff>
                    <xdr:row>2</xdr:row>
                    <xdr:rowOff>38100</xdr:rowOff>
                  </from>
                  <to>
                    <xdr:col>15</xdr:col>
                    <xdr:colOff>622300</xdr:colOff>
                    <xdr:row>2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5F132-5463-A745-866B-18DA97F68A82}">
  <sheetPr codeName="Sheet3"/>
  <dimension ref="B1:T21"/>
  <sheetViews>
    <sheetView topLeftCell="B1" zoomScale="170" workbookViewId="0">
      <selection activeCell="J7" sqref="J7"/>
    </sheetView>
  </sheetViews>
  <sheetFormatPr baseColWidth="10" defaultColWidth="6.6640625" defaultRowHeight="40" customHeight="1" x14ac:dyDescent="0.2"/>
  <cols>
    <col min="14" max="14" width="8.33203125" bestFit="1" customWidth="1"/>
  </cols>
  <sheetData>
    <row r="1" spans="2:20" ht="40" customHeight="1" x14ac:dyDescent="0.2">
      <c r="B1">
        <v>2</v>
      </c>
    </row>
    <row r="2" spans="2:20" ht="40" customHeight="1" x14ac:dyDescent="0.2">
      <c r="B2">
        <v>2</v>
      </c>
    </row>
    <row r="3" spans="2:20" ht="40" customHeight="1" x14ac:dyDescent="0.2">
      <c r="B3">
        <v>2</v>
      </c>
      <c r="G3">
        <v>2</v>
      </c>
      <c r="I3">
        <v>2</v>
      </c>
      <c r="K3">
        <v>2</v>
      </c>
    </row>
    <row r="4" spans="2:20" ht="40" customHeight="1" x14ac:dyDescent="0.2">
      <c r="B4">
        <v>2</v>
      </c>
      <c r="N4" cm="1">
        <f t="array" ref="N4">COUNT(IF(IF(MOD(COLUMN(G3:L3)+1,2)=0,G3:L3,0)=2,G3:L3,""))</f>
        <v>3</v>
      </c>
    </row>
    <row r="5" spans="2:20" ht="40" customHeight="1" x14ac:dyDescent="0.2">
      <c r="B5">
        <v>2</v>
      </c>
      <c r="G5">
        <v>2</v>
      </c>
      <c r="H5">
        <v>1</v>
      </c>
      <c r="I5">
        <v>1</v>
      </c>
      <c r="J5">
        <v>1</v>
      </c>
      <c r="K5">
        <v>1</v>
      </c>
      <c r="L5">
        <v>1</v>
      </c>
      <c r="S5" t="s">
        <v>24</v>
      </c>
      <c r="T5">
        <v>3</v>
      </c>
    </row>
    <row r="6" spans="2:20" ht="40" customHeight="1" x14ac:dyDescent="0.2">
      <c r="B6">
        <v>2</v>
      </c>
      <c r="F6" s="23"/>
      <c r="G6">
        <f t="shared" ref="G6:L6" si="0">MOD(COLUMN(G5)+1,2)</f>
        <v>0</v>
      </c>
      <c r="H6">
        <f t="shared" si="0"/>
        <v>1</v>
      </c>
      <c r="I6">
        <f t="shared" si="0"/>
        <v>0</v>
      </c>
      <c r="J6">
        <f t="shared" si="0"/>
        <v>1</v>
      </c>
      <c r="K6">
        <f t="shared" si="0"/>
        <v>0</v>
      </c>
      <c r="L6">
        <f t="shared" si="0"/>
        <v>1</v>
      </c>
      <c r="S6" t="s">
        <v>25</v>
      </c>
    </row>
    <row r="7" spans="2:20" ht="40" customHeight="1" x14ac:dyDescent="0.2">
      <c r="B7">
        <v>2</v>
      </c>
      <c r="G7">
        <f t="shared" ref="G7:L7" si="1">COUNT(IF(G6 = 0,G5,""))</f>
        <v>1</v>
      </c>
      <c r="H7">
        <f t="shared" si="1"/>
        <v>0</v>
      </c>
      <c r="I7">
        <f t="shared" si="1"/>
        <v>1</v>
      </c>
      <c r="J7">
        <f t="shared" si="1"/>
        <v>0</v>
      </c>
      <c r="K7">
        <f t="shared" si="1"/>
        <v>1</v>
      </c>
      <c r="L7">
        <f t="shared" si="1"/>
        <v>0</v>
      </c>
    </row>
    <row r="8" spans="2:20" ht="40" customHeight="1" x14ac:dyDescent="0.2">
      <c r="B8">
        <v>2</v>
      </c>
    </row>
    <row r="9" spans="2:20" ht="40" customHeight="1" x14ac:dyDescent="0.2">
      <c r="B9">
        <v>2</v>
      </c>
    </row>
    <row r="10" spans="2:20" ht="40" customHeight="1" x14ac:dyDescent="0.2">
      <c r="B10">
        <v>2</v>
      </c>
      <c r="F10">
        <v>1</v>
      </c>
      <c r="G10">
        <v>10</v>
      </c>
      <c r="H10">
        <v>2</v>
      </c>
      <c r="I10">
        <v>10</v>
      </c>
      <c r="J10">
        <v>10</v>
      </c>
      <c r="K10">
        <v>3</v>
      </c>
      <c r="L10">
        <v>10</v>
      </c>
      <c r="M10">
        <v>10</v>
      </c>
      <c r="N10">
        <v>4</v>
      </c>
    </row>
    <row r="11" spans="2:20" ht="40" customHeight="1" x14ac:dyDescent="0.2">
      <c r="B11">
        <v>2</v>
      </c>
    </row>
    <row r="12" spans="2:20" ht="40" customHeight="1" x14ac:dyDescent="0.2">
      <c r="B12">
        <v>2</v>
      </c>
    </row>
    <row r="13" spans="2:20" ht="40" customHeight="1" x14ac:dyDescent="0.2">
      <c r="B13">
        <v>2</v>
      </c>
    </row>
    <row r="14" spans="2:20" ht="40" customHeight="1" x14ac:dyDescent="0.2">
      <c r="B14">
        <v>2</v>
      </c>
    </row>
    <row r="15" spans="2:20" ht="40" customHeight="1" x14ac:dyDescent="0.2">
      <c r="B15">
        <v>2</v>
      </c>
    </row>
    <row r="16" spans="2:20" ht="40" customHeight="1" x14ac:dyDescent="0.2">
      <c r="B16">
        <v>2</v>
      </c>
    </row>
    <row r="17" spans="2:2" ht="40" customHeight="1" x14ac:dyDescent="0.2">
      <c r="B17">
        <v>2</v>
      </c>
    </row>
    <row r="18" spans="2:2" ht="40" customHeight="1" x14ac:dyDescent="0.2">
      <c r="B18">
        <v>2</v>
      </c>
    </row>
    <row r="19" spans="2:2" ht="40" customHeight="1" x14ac:dyDescent="0.2">
      <c r="B19">
        <v>2</v>
      </c>
    </row>
    <row r="20" spans="2:2" ht="40" customHeight="1" x14ac:dyDescent="0.2">
      <c r="B20">
        <v>2</v>
      </c>
    </row>
    <row r="21" spans="2:2" ht="40" customHeight="1" x14ac:dyDescent="0.2">
      <c r="B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Groupstage</vt:lpstr>
      <vt:lpstr>Mainstage</vt:lpstr>
      <vt:lpstr>Preferences</vt:lpstr>
      <vt:lpstr>TestSheet</vt:lpstr>
      <vt:lpstr>AdjustedStandings</vt:lpstr>
      <vt:lpstr>BoolOptions</vt:lpstr>
      <vt:lpstr>ColorOptions</vt:lpstr>
      <vt:lpstr>Parts</vt:lpstr>
      <vt:lpstr>Points</vt:lpstr>
      <vt:lpstr>Standings</vt:lpstr>
      <vt:lpstr>Tiebreaker1</vt:lpstr>
      <vt:lpstr>Tiebreaker2</vt:lpstr>
      <vt:lpstr>ValueOptions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Haakon Hafsahl Svane</dc:creator>
  <cp:lastModifiedBy>Microsoft Office User</cp:lastModifiedBy>
  <dcterms:created xsi:type="dcterms:W3CDTF">2019-04-27T23:35:56Z</dcterms:created>
  <dcterms:modified xsi:type="dcterms:W3CDTF">2022-01-28T14:15:47Z</dcterms:modified>
</cp:coreProperties>
</file>