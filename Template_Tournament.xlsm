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akonsvane/Documents/Smash Turneringer/Project/"/>
    </mc:Choice>
  </mc:AlternateContent>
  <xr:revisionPtr revIDLastSave="0" documentId="13_ncr:1_{D9E1CFA8-AB3C-5649-895D-FBDF15B2A3B9}" xr6:coauthVersionLast="45" xr6:coauthVersionMax="45" xr10:uidLastSave="{00000000-0000-0000-0000-000000000000}"/>
  <bookViews>
    <workbookView xWindow="0" yWindow="460" windowWidth="33600" windowHeight="19180" xr2:uid="{530999BA-CAA7-FD49-98DE-C2B5C8429804}"/>
  </bookViews>
  <sheets>
    <sheet name="Groupstage" sheetId="1" r:id="rId1"/>
    <sheet name="Mainstage" sheetId="2" r:id="rId2"/>
    <sheet name="Preferences" sheetId="4" r:id="rId3"/>
    <sheet name="Sheet1" sheetId="3" r:id="rId4"/>
  </sheets>
  <functionGroups builtInGroupCount="19"/>
  <definedNames>
    <definedName name="Adjusted_Standings">Mainstage!$G$3:$N$11</definedName>
    <definedName name="BoolOptions">Preferences!$K$3:$Q$13</definedName>
    <definedName name="ColorOptions">Preferences!$D$3:$I$13</definedName>
    <definedName name="Parts">Groupstage!$B$3:$B$10</definedName>
    <definedName name="Points">Groupstage!$G$3:$X$11</definedName>
    <definedName name="Standings">Groupstage!$G$14:$P$22</definedName>
    <definedName name="ValueOptions">Preferences!$R$3:$V$13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0" i="1" l="1"/>
  <c r="Y9" i="1"/>
  <c r="Y8" i="1"/>
  <c r="Y7" i="1"/>
  <c r="Y6" i="1"/>
  <c r="Y5" i="1"/>
  <c r="S8" i="1"/>
  <c r="T8" i="1"/>
  <c r="R9" i="1"/>
  <c r="Q9" i="1"/>
  <c r="U7" i="1"/>
  <c r="V7" i="1"/>
  <c r="P10" i="1"/>
  <c r="O10" i="1"/>
  <c r="W6" i="1"/>
  <c r="X6" i="1"/>
  <c r="N11" i="1"/>
  <c r="M11" i="1"/>
  <c r="K4" i="1"/>
  <c r="L4" i="1"/>
  <c r="J5" i="1"/>
  <c r="I5" i="1"/>
  <c r="U9" i="1"/>
  <c r="V9" i="1"/>
  <c r="T10" i="1"/>
  <c r="S10" i="1"/>
  <c r="W8" i="1"/>
  <c r="X8" i="1"/>
  <c r="R11" i="1"/>
  <c r="Q11" i="1"/>
  <c r="K7" i="1"/>
  <c r="L7" i="1"/>
  <c r="P5" i="1"/>
  <c r="O5" i="1"/>
  <c r="M4" i="1"/>
  <c r="N4" i="1"/>
  <c r="J6" i="1"/>
  <c r="I6" i="1"/>
  <c r="W10" i="1"/>
  <c r="X10" i="1"/>
  <c r="V11" i="1"/>
  <c r="U11" i="1"/>
  <c r="K9" i="1"/>
  <c r="L9" i="1"/>
  <c r="T5" i="1"/>
  <c r="S5" i="1"/>
  <c r="M8" i="1"/>
  <c r="N8" i="1"/>
  <c r="R6" i="1"/>
  <c r="Q6" i="1"/>
  <c r="O4" i="1"/>
  <c r="P4" i="1"/>
  <c r="J7" i="1"/>
  <c r="I7" i="1"/>
  <c r="K11" i="1"/>
  <c r="L11" i="1"/>
  <c r="X5" i="1"/>
  <c r="W5" i="1"/>
  <c r="M10" i="1"/>
  <c r="N10" i="1"/>
  <c r="V6" i="1"/>
  <c r="U6" i="1"/>
  <c r="O9" i="1"/>
  <c r="P9" i="1"/>
  <c r="T7" i="1"/>
  <c r="S7" i="1"/>
  <c r="Q4" i="1"/>
  <c r="R4" i="1"/>
  <c r="J8" i="1"/>
  <c r="I8" i="1"/>
  <c r="M5" i="1"/>
  <c r="N5" i="1"/>
  <c r="L6" i="1"/>
  <c r="K6" i="1"/>
  <c r="O11" i="1"/>
  <c r="P11" i="1"/>
  <c r="X7" i="1"/>
  <c r="W7" i="1"/>
  <c r="Q10" i="1"/>
  <c r="R10" i="1"/>
  <c r="V8" i="1"/>
  <c r="U8" i="1"/>
  <c r="S4" i="1"/>
  <c r="T4" i="1"/>
  <c r="J9" i="1"/>
  <c r="I9" i="1"/>
  <c r="O6" i="1"/>
  <c r="P6" i="1"/>
  <c r="N7" i="1"/>
  <c r="M7" i="1"/>
  <c r="Q5" i="1"/>
  <c r="R5" i="1"/>
  <c r="L8" i="1"/>
  <c r="K8" i="1"/>
  <c r="S11" i="1"/>
  <c r="T11" i="1"/>
  <c r="X9" i="1"/>
  <c r="W9" i="1"/>
  <c r="U4" i="1"/>
  <c r="V4" i="1"/>
  <c r="J10" i="1"/>
  <c r="I10" i="1"/>
  <c r="Q7" i="1"/>
  <c r="R7" i="1"/>
  <c r="P8" i="1"/>
  <c r="O8" i="1"/>
  <c r="S6" i="1"/>
  <c r="T6" i="1"/>
  <c r="N9" i="1"/>
  <c r="M9" i="1"/>
  <c r="U5" i="1"/>
  <c r="V5" i="1"/>
  <c r="L10" i="1"/>
  <c r="K10" i="1"/>
  <c r="J11" i="1"/>
  <c r="W4" i="1" s="1"/>
  <c r="Y4" i="1" s="1"/>
  <c r="I11" i="1"/>
  <c r="Y11" i="1" s="1"/>
  <c r="X4" i="1" l="1"/>
  <c r="O22" i="1" a="1"/>
  <c r="O22" i="1" s="1"/>
  <c r="M22" i="1"/>
  <c r="M19" i="1"/>
  <c r="M16" i="1"/>
  <c r="K15" i="1"/>
  <c r="O17" i="1" a="1"/>
  <c r="O17" i="1" s="1"/>
  <c r="K22" i="1"/>
  <c r="K19" i="1"/>
  <c r="K16" i="1"/>
  <c r="I18" i="1"/>
  <c r="M20" i="1"/>
  <c r="I20" i="1"/>
  <c r="I22" i="1"/>
  <c r="I19" i="1"/>
  <c r="I16" i="1"/>
  <c r="I15" i="1"/>
  <c r="M17" i="1"/>
  <c r="I17" i="1"/>
  <c r="O21" i="1" a="1"/>
  <c r="O21" i="1" s="1"/>
  <c r="O18" i="1" a="1"/>
  <c r="O18" i="1" s="1"/>
  <c r="O15" i="1" a="1"/>
  <c r="O15" i="1" s="1"/>
  <c r="O20" i="1" a="1"/>
  <c r="O20" i="1" s="1"/>
  <c r="K17" i="1"/>
  <c r="O19" i="1" a="1"/>
  <c r="O19" i="1" s="1"/>
  <c r="M21" i="1"/>
  <c r="M18" i="1"/>
  <c r="M15" i="1"/>
  <c r="K21" i="1"/>
  <c r="K18" i="1"/>
  <c r="I21" i="1"/>
  <c r="K20" i="1"/>
  <c r="O16" i="1" a="1"/>
  <c r="O16" i="1" s="1"/>
  <c r="N4" i="3" a="1"/>
  <c r="N4" i="3" s="1"/>
  <c r="H6" i="3"/>
  <c r="H7" i="3" s="1"/>
  <c r="I6" i="3"/>
  <c r="I7" i="3" s="1"/>
  <c r="J6" i="3"/>
  <c r="J7" i="3" s="1"/>
  <c r="K6" i="3"/>
  <c r="K7" i="3" s="1"/>
  <c r="L6" i="3"/>
  <c r="L7" i="3" s="1"/>
  <c r="G6" i="3"/>
  <c r="G7" i="3" s="1"/>
  <c r="A1" i="2" l="1"/>
</calcChain>
</file>

<file path=xl/sharedStrings.xml><?xml version="1.0" encoding="utf-8"?>
<sst xmlns="http://schemas.openxmlformats.org/spreadsheetml/2006/main" count="121" uniqueCount="49">
  <si>
    <t>Deltakere:</t>
  </si>
  <si>
    <t>[SESONG]turnering, [DATO], [STED]</t>
  </si>
  <si>
    <t xml:space="preserve"> </t>
  </si>
  <si>
    <t>1.</t>
  </si>
  <si>
    <t>2.</t>
  </si>
  <si>
    <t>3.</t>
  </si>
  <si>
    <t>Plass:</t>
  </si>
  <si>
    <t>Navn:</t>
  </si>
  <si>
    <t>Poeng:</t>
  </si>
  <si>
    <t>Haakon</t>
  </si>
  <si>
    <t>4.</t>
  </si>
  <si>
    <t>PointsTable:</t>
  </si>
  <si>
    <t>Standings:</t>
  </si>
  <si>
    <t>Kamper:</t>
  </si>
  <si>
    <t>Seiere:</t>
  </si>
  <si>
    <t>5.</t>
  </si>
  <si>
    <t>Herman</t>
  </si>
  <si>
    <t>Victor</t>
  </si>
  <si>
    <t>Markus</t>
  </si>
  <si>
    <t>Sindre</t>
  </si>
  <si>
    <t>Rikke</t>
  </si>
  <si>
    <t>Addi</t>
  </si>
  <si>
    <t>6.</t>
  </si>
  <si>
    <t>7.</t>
  </si>
  <si>
    <t>8.</t>
  </si>
  <si>
    <t>Round 1</t>
  </si>
  <si>
    <t>Matchups</t>
  </si>
  <si>
    <t>Round 2</t>
  </si>
  <si>
    <t>Round 3</t>
  </si>
  <si>
    <t>Round 4</t>
  </si>
  <si>
    <t>Round 5</t>
  </si>
  <si>
    <t>Round 6</t>
  </si>
  <si>
    <t>Round 7</t>
  </si>
  <si>
    <t>Simen</t>
  </si>
  <si>
    <t>Colors:</t>
  </si>
  <si>
    <t>Error color</t>
  </si>
  <si>
    <t>Background color</t>
  </si>
  <si>
    <t>Pass color</t>
  </si>
  <si>
    <t>Fail color</t>
  </si>
  <si>
    <t>Booleans:</t>
  </si>
  <si>
    <t>Winner bracket advantage</t>
  </si>
  <si>
    <t>Values:</t>
  </si>
  <si>
    <t>Group stage games best of</t>
  </si>
  <si>
    <t>Tiebraker games best of</t>
  </si>
  <si>
    <t>Final game best of</t>
  </si>
  <si>
    <t>Participants limit</t>
  </si>
  <si>
    <t>Header color</t>
  </si>
  <si>
    <t>Foreground color 1</t>
  </si>
  <si>
    <t>Foreground color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</si>
</sst>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indexed="8"/>
      <name val="Calibri (Body)"/>
    </font>
    <font>
      <b/>
      <sz val="22"/>
      <color indexed="8"/>
      <name val="Calibri"/>
      <family val="2"/>
      <scheme val="minor"/>
    </font>
    <font>
      <b/>
      <sz val="20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sz val="22"/>
      <color indexed="8"/>
      <name val="Calibri"/>
      <family val="2"/>
      <scheme val="minor"/>
    </font>
    <font>
      <sz val="8"/>
      <name val="Calibri"/>
      <family val="2"/>
      <scheme val="minor"/>
    </font>
    <font>
      <sz val="28"/>
      <color theme="1"/>
      <name val="Britannic Bold"/>
    </font>
    <font>
      <sz val="12"/>
      <color indexed="8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16"/>
      <color indexed="8"/>
      <name val="Calibri"/>
      <family val="2"/>
      <scheme val="minor"/>
    </font>
    <font>
      <sz val="18"/>
      <color indexed="8"/>
      <name val="Calibri"/>
      <family val="2"/>
      <scheme val="minor"/>
    </font>
    <font>
      <sz val="15"/>
      <color rgb="FF141414"/>
      <name val="Helvetica Neue"/>
      <family val="2"/>
    </font>
    <font>
      <b/>
      <sz val="22"/>
      <color theme="1"/>
      <name val="Calibri"/>
      <family val="2"/>
      <scheme val="minor"/>
    </font>
    <font>
      <b/>
      <sz val="20"/>
      <color indexed="8"/>
      <name val="Helvetica Neue"/>
      <family val="2"/>
    </font>
    <font>
      <b/>
      <sz val="36"/>
      <color indexed="8"/>
      <name val="Calibri"/>
      <family val="2"/>
      <scheme val="minor"/>
    </font>
    <font>
      <b/>
      <sz val="28"/>
      <color indexed="8"/>
      <name val="Comic Sans MS"/>
      <family val="4"/>
    </font>
    <font>
      <b/>
      <sz val="20"/>
      <color rgb="FFFFFFFF"/>
      <name val="Calibri"/>
      <family val="2"/>
      <scheme val="minor"/>
    </font>
    <font>
      <i/>
      <sz val="20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9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D0CECD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E09F9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280000"/>
        <bgColor indexed="64"/>
      </patternFill>
    </fill>
    <fill>
      <patternFill patternType="solid">
        <fgColor rgb="FF787878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49" fontId="3" fillId="0" borderId="2" xfId="0" applyNumberFormat="1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49" fontId="3" fillId="2" borderId="0" xfId="0" applyNumberFormat="1" applyFont="1" applyFill="1" applyBorder="1" applyAlignment="1">
      <alignment vertical="center"/>
    </xf>
    <xf numFmtId="49" fontId="4" fillId="2" borderId="0" xfId="0" applyNumberFormat="1" applyFont="1" applyFill="1" applyBorder="1" applyAlignment="1">
      <alignment vertical="center"/>
    </xf>
    <xf numFmtId="49" fontId="3" fillId="2" borderId="3" xfId="0" applyNumberFormat="1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49" fontId="6" fillId="3" borderId="0" xfId="0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vertical="center"/>
    </xf>
    <xf numFmtId="0" fontId="8" fillId="3" borderId="0" xfId="0" applyFont="1" applyFill="1" applyBorder="1" applyAlignment="1">
      <alignment horizontal="center" vertical="center"/>
    </xf>
    <xf numFmtId="49" fontId="7" fillId="3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vertical="center"/>
    </xf>
    <xf numFmtId="0" fontId="6" fillId="3" borderId="0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9" fillId="3" borderId="0" xfId="0" applyNumberFormat="1" applyFont="1" applyFill="1" applyBorder="1" applyAlignment="1">
      <alignment horizontal="center" vertical="center"/>
    </xf>
    <xf numFmtId="49" fontId="6" fillId="3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49" fontId="4" fillId="6" borderId="1" xfId="0" applyNumberFormat="1" applyFont="1" applyFill="1" applyBorder="1" applyAlignment="1">
      <alignment vertical="center"/>
    </xf>
    <xf numFmtId="0" fontId="12" fillId="3" borderId="0" xfId="0" applyFont="1" applyFill="1" applyBorder="1" applyAlignment="1"/>
    <xf numFmtId="0" fontId="12" fillId="3" borderId="0" xfId="0" applyFont="1" applyFill="1" applyBorder="1"/>
    <xf numFmtId="0" fontId="13" fillId="3" borderId="0" xfId="0" applyFont="1" applyFill="1" applyBorder="1" applyAlignment="1">
      <alignment horizontal="center"/>
    </xf>
    <xf numFmtId="0" fontId="14" fillId="3" borderId="0" xfId="0" applyFont="1" applyFill="1" applyBorder="1"/>
    <xf numFmtId="0" fontId="15" fillId="3" borderId="0" xfId="0" applyFont="1" applyFill="1" applyBorder="1"/>
    <xf numFmtId="0" fontId="0" fillId="2" borderId="0" xfId="0" applyFill="1"/>
    <xf numFmtId="0" fontId="7" fillId="3" borderId="0" xfId="0" applyNumberFormat="1" applyFont="1" applyFill="1" applyBorder="1" applyAlignment="1">
      <alignment horizontal="center" vertical="center"/>
    </xf>
    <xf numFmtId="0" fontId="16" fillId="0" borderId="0" xfId="0" applyFont="1"/>
    <xf numFmtId="0" fontId="8" fillId="3" borderId="0" xfId="0" applyFont="1" applyFill="1" applyBorder="1"/>
    <xf numFmtId="0" fontId="17" fillId="2" borderId="0" xfId="0" applyFont="1" applyFill="1" applyAlignment="1">
      <alignment horizontal="center" vertical="center"/>
    </xf>
    <xf numFmtId="0" fontId="18" fillId="3" borderId="0" xfId="0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horizontal="center" vertical="center"/>
    </xf>
    <xf numFmtId="0" fontId="7" fillId="0" borderId="6" xfId="0" applyNumberFormat="1" applyFont="1" applyFill="1" applyBorder="1" applyAlignment="1">
      <alignment horizontal="center" vertical="center"/>
    </xf>
    <xf numFmtId="0" fontId="7" fillId="0" borderId="7" xfId="0" applyNumberFormat="1" applyFont="1" applyFill="1" applyBorder="1" applyAlignment="1">
      <alignment horizontal="center" vertical="center"/>
    </xf>
    <xf numFmtId="0" fontId="7" fillId="0" borderId="9" xfId="0" applyNumberFormat="1" applyFont="1" applyFill="1" applyBorder="1" applyAlignment="1">
      <alignment horizontal="center" vertical="center"/>
    </xf>
    <xf numFmtId="0" fontId="7" fillId="0" borderId="11" xfId="0" applyNumberFormat="1" applyFont="1" applyFill="1" applyBorder="1" applyAlignment="1">
      <alignment horizontal="center" vertical="center"/>
    </xf>
    <xf numFmtId="0" fontId="7" fillId="0" borderId="12" xfId="0" applyNumberFormat="1" applyFont="1" applyFill="1" applyBorder="1" applyAlignment="1">
      <alignment horizontal="center" vertical="center"/>
    </xf>
    <xf numFmtId="0" fontId="7" fillId="0" borderId="4" xfId="0" applyNumberFormat="1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horizontal="center" vertical="center"/>
    </xf>
    <xf numFmtId="0" fontId="7" fillId="4" borderId="0" xfId="0" applyNumberFormat="1" applyFont="1" applyFill="1" applyBorder="1" applyAlignment="1">
      <alignment horizontal="center" vertical="center"/>
    </xf>
    <xf numFmtId="0" fontId="7" fillId="0" borderId="16" xfId="0" applyNumberFormat="1" applyFont="1" applyFill="1" applyBorder="1" applyAlignment="1">
      <alignment horizontal="center" vertical="center"/>
    </xf>
    <xf numFmtId="0" fontId="7" fillId="4" borderId="17" xfId="0" applyNumberFormat="1" applyFont="1" applyFill="1" applyBorder="1" applyAlignment="1">
      <alignment horizontal="center" vertical="center"/>
    </xf>
    <xf numFmtId="0" fontId="7" fillId="0" borderId="23" xfId="0" applyNumberFormat="1" applyFont="1" applyFill="1" applyBorder="1" applyAlignment="1">
      <alignment horizontal="center" vertical="center"/>
    </xf>
    <xf numFmtId="0" fontId="21" fillId="3" borderId="0" xfId="0" applyNumberFormat="1" applyFont="1" applyFill="1" applyBorder="1" applyAlignment="1">
      <alignment horizontal="center" vertical="center"/>
    </xf>
    <xf numFmtId="49" fontId="9" fillId="3" borderId="0" xfId="0" applyNumberFormat="1" applyFont="1" applyFill="1" applyBorder="1" applyAlignment="1">
      <alignment horizontal="center" vertical="center"/>
    </xf>
    <xf numFmtId="0" fontId="7" fillId="4" borderId="26" xfId="0" applyNumberFormat="1" applyFont="1" applyFill="1" applyBorder="1" applyAlignment="1">
      <alignment horizontal="center" vertical="center"/>
    </xf>
    <xf numFmtId="0" fontId="7" fillId="0" borderId="29" xfId="0" applyNumberFormat="1" applyFont="1" applyFill="1" applyBorder="1" applyAlignment="1">
      <alignment horizontal="center" vertical="center"/>
    </xf>
    <xf numFmtId="0" fontId="7" fillId="4" borderId="28" xfId="0" applyNumberFormat="1" applyFont="1" applyFill="1" applyBorder="1" applyAlignment="1">
      <alignment horizontal="center" vertical="center"/>
    </xf>
    <xf numFmtId="0" fontId="7" fillId="0" borderId="31" xfId="0" applyNumberFormat="1" applyFont="1" applyFill="1" applyBorder="1" applyAlignment="1">
      <alignment horizontal="center" vertical="center"/>
    </xf>
    <xf numFmtId="0" fontId="7" fillId="4" borderId="0" xfId="0" quotePrefix="1" applyNumberFormat="1" applyFont="1" applyFill="1" applyBorder="1" applyAlignment="1">
      <alignment horizontal="center" vertical="center"/>
    </xf>
    <xf numFmtId="0" fontId="7" fillId="0" borderId="16" xfId="0" quotePrefix="1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/>
    </xf>
    <xf numFmtId="0" fontId="0" fillId="0" borderId="32" xfId="0" applyFill="1" applyBorder="1"/>
    <xf numFmtId="0" fontId="0" fillId="0" borderId="17" xfId="0" applyFill="1" applyBorder="1"/>
    <xf numFmtId="0" fontId="0" fillId="0" borderId="0" xfId="0" applyFill="1" applyBorder="1"/>
    <xf numFmtId="0" fontId="0" fillId="0" borderId="26" xfId="0" applyFill="1" applyBorder="1"/>
    <xf numFmtId="0" fontId="0" fillId="0" borderId="28" xfId="0" applyFill="1" applyBorder="1"/>
    <xf numFmtId="0" fontId="0" fillId="0" borderId="31" xfId="0" applyFill="1" applyBorder="1"/>
    <xf numFmtId="0" fontId="0" fillId="9" borderId="0" xfId="0" applyFill="1"/>
    <xf numFmtId="0" fontId="17" fillId="0" borderId="30" xfId="0" applyFont="1" applyFill="1" applyBorder="1" applyAlignment="1">
      <alignment horizontal="center" vertical="center"/>
    </xf>
    <xf numFmtId="0" fontId="17" fillId="0" borderId="32" xfId="0" applyFont="1" applyFill="1" applyBorder="1" applyAlignment="1">
      <alignment horizontal="center" vertical="center"/>
    </xf>
    <xf numFmtId="0" fontId="0" fillId="0" borderId="0" xfId="0" applyFill="1"/>
    <xf numFmtId="0" fontId="0" fillId="10" borderId="0" xfId="0" applyFill="1"/>
    <xf numFmtId="0" fontId="26" fillId="0" borderId="36" xfId="0" applyFont="1" applyFill="1" applyBorder="1" applyAlignment="1">
      <alignment horizontal="center" vertical="center"/>
    </xf>
    <xf numFmtId="0" fontId="26" fillId="0" borderId="37" xfId="0" applyFont="1" applyFill="1" applyBorder="1" applyAlignment="1">
      <alignment horizontal="center" vertical="center"/>
    </xf>
    <xf numFmtId="0" fontId="7" fillId="0" borderId="13" xfId="0" applyNumberFormat="1" applyFont="1" applyFill="1" applyBorder="1" applyAlignment="1">
      <alignment horizontal="center" vertical="center"/>
    </xf>
    <xf numFmtId="0" fontId="7" fillId="0" borderId="27" xfId="0" applyNumberFormat="1" applyFont="1" applyFill="1" applyBorder="1" applyAlignment="1">
      <alignment horizontal="center" vertical="center"/>
    </xf>
    <xf numFmtId="0" fontId="7" fillId="0" borderId="28" xfId="0" applyNumberFormat="1" applyFont="1" applyFill="1" applyBorder="1" applyAlignment="1">
      <alignment horizontal="center" vertical="center"/>
    </xf>
    <xf numFmtId="49" fontId="7" fillId="4" borderId="46" xfId="0" applyNumberFormat="1" applyFont="1" applyFill="1" applyBorder="1" applyAlignment="1">
      <alignment horizontal="center" vertical="center"/>
    </xf>
    <xf numFmtId="49" fontId="7" fillId="4" borderId="49" xfId="0" applyNumberFormat="1" applyFont="1" applyFill="1" applyBorder="1" applyAlignment="1">
      <alignment horizontal="center" vertical="center"/>
    </xf>
    <xf numFmtId="0" fontId="7" fillId="4" borderId="43" xfId="0" applyNumberFormat="1" applyFont="1" applyFill="1" applyBorder="1" applyAlignment="1">
      <alignment horizontal="center" vertical="center"/>
    </xf>
    <xf numFmtId="0" fontId="7" fillId="4" borderId="45" xfId="0" applyNumberFormat="1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7" fillId="4" borderId="38" xfId="0" applyNumberFormat="1" applyFont="1" applyFill="1" applyBorder="1" applyAlignment="1">
      <alignment horizontal="center" vertical="center"/>
    </xf>
    <xf numFmtId="49" fontId="7" fillId="0" borderId="39" xfId="0" applyNumberFormat="1" applyFont="1" applyFill="1" applyBorder="1" applyAlignment="1">
      <alignment horizontal="center" vertical="center"/>
    </xf>
    <xf numFmtId="49" fontId="7" fillId="4" borderId="40" xfId="0" applyNumberFormat="1" applyFont="1" applyFill="1" applyBorder="1" applyAlignment="1">
      <alignment horizontal="center" vertical="center"/>
    </xf>
    <xf numFmtId="49" fontId="7" fillId="7" borderId="41" xfId="0" applyNumberFormat="1" applyFont="1" applyFill="1" applyBorder="1" applyAlignment="1">
      <alignment horizontal="center" vertical="center"/>
    </xf>
    <xf numFmtId="49" fontId="7" fillId="4" borderId="39" xfId="0" applyNumberFormat="1" applyFont="1" applyFill="1" applyBorder="1" applyAlignment="1">
      <alignment horizontal="center" vertical="center"/>
    </xf>
    <xf numFmtId="49" fontId="6" fillId="5" borderId="20" xfId="0" applyNumberFormat="1" applyFont="1" applyFill="1" applyBorder="1" applyAlignment="1">
      <alignment horizontal="center" vertical="center"/>
    </xf>
    <xf numFmtId="49" fontId="6" fillId="5" borderId="21" xfId="0" applyNumberFormat="1" applyFont="1" applyFill="1" applyBorder="1" applyAlignment="1">
      <alignment horizontal="center" vertical="center"/>
    </xf>
    <xf numFmtId="49" fontId="6" fillId="5" borderId="22" xfId="0" applyNumberFormat="1" applyFont="1" applyFill="1" applyBorder="1" applyAlignment="1">
      <alignment horizontal="center" vertical="center"/>
    </xf>
    <xf numFmtId="0" fontId="7" fillId="7" borderId="4" xfId="0" applyNumberFormat="1" applyFont="1" applyFill="1" applyBorder="1" applyAlignment="1">
      <alignment horizontal="center" vertical="center"/>
    </xf>
    <xf numFmtId="0" fontId="7" fillId="0" borderId="13" xfId="0" applyNumberFormat="1" applyFont="1" applyFill="1" applyBorder="1" applyAlignment="1">
      <alignment horizontal="center" vertical="center"/>
    </xf>
    <xf numFmtId="49" fontId="7" fillId="4" borderId="10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center" vertical="center"/>
    </xf>
    <xf numFmtId="0" fontId="7" fillId="0" borderId="14" xfId="0" applyNumberFormat="1" applyFont="1" applyFill="1" applyBorder="1" applyAlignment="1">
      <alignment horizontal="center" vertical="center"/>
    </xf>
    <xf numFmtId="0" fontId="7" fillId="0" borderId="15" xfId="0" applyNumberFormat="1" applyFont="1" applyFill="1" applyBorder="1" applyAlignment="1">
      <alignment horizontal="center" vertical="center"/>
    </xf>
    <xf numFmtId="0" fontId="7" fillId="0" borderId="27" xfId="0" applyNumberFormat="1" applyFont="1" applyFill="1" applyBorder="1" applyAlignment="1">
      <alignment horizontal="center" vertical="center"/>
    </xf>
    <xf numFmtId="0" fontId="7" fillId="0" borderId="28" xfId="0" applyNumberFormat="1" applyFont="1" applyFill="1" applyBorder="1" applyAlignment="1">
      <alignment horizontal="center" vertical="center"/>
    </xf>
    <xf numFmtId="0" fontId="7" fillId="4" borderId="44" xfId="0" applyNumberFormat="1" applyFont="1" applyFill="1" applyBorder="1" applyAlignment="1">
      <alignment horizontal="center" vertical="center"/>
    </xf>
    <xf numFmtId="0" fontId="7" fillId="4" borderId="43" xfId="0" applyNumberFormat="1" applyFont="1" applyFill="1" applyBorder="1" applyAlignment="1">
      <alignment horizontal="center" vertical="center"/>
    </xf>
    <xf numFmtId="0" fontId="7" fillId="7" borderId="18" xfId="0" applyNumberFormat="1" applyFont="1" applyFill="1" applyBorder="1" applyAlignment="1">
      <alignment horizontal="center" vertical="center"/>
    </xf>
    <xf numFmtId="0" fontId="7" fillId="0" borderId="19" xfId="0" applyNumberFormat="1" applyFont="1" applyFill="1" applyBorder="1" applyAlignment="1">
      <alignment horizontal="center" vertical="center"/>
    </xf>
    <xf numFmtId="49" fontId="7" fillId="4" borderId="8" xfId="0" applyNumberFormat="1" applyFont="1" applyFill="1" applyBorder="1" applyAlignment="1">
      <alignment horizontal="center" vertical="center"/>
    </xf>
    <xf numFmtId="49" fontId="7" fillId="0" borderId="7" xfId="0" applyNumberFormat="1" applyFont="1" applyFill="1" applyBorder="1" applyAlignment="1">
      <alignment horizontal="center" vertical="center"/>
    </xf>
    <xf numFmtId="49" fontId="7" fillId="0" borderId="42" xfId="0" applyNumberFormat="1" applyFont="1" applyFill="1" applyBorder="1" applyAlignment="1">
      <alignment horizontal="center" vertical="center"/>
    </xf>
    <xf numFmtId="49" fontId="6" fillId="4" borderId="8" xfId="0" applyNumberFormat="1" applyFont="1" applyFill="1" applyBorder="1" applyAlignment="1">
      <alignment horizontal="center" vertical="center"/>
    </xf>
    <xf numFmtId="49" fontId="6" fillId="0" borderId="7" xfId="0" applyNumberFormat="1" applyFont="1" applyFill="1" applyBorder="1" applyAlignment="1">
      <alignment horizontal="center" vertical="center"/>
    </xf>
    <xf numFmtId="0" fontId="9" fillId="0" borderId="5" xfId="0" applyNumberFormat="1" applyFont="1" applyFill="1" applyBorder="1" applyAlignment="1">
      <alignment horizontal="center" vertical="center"/>
    </xf>
    <xf numFmtId="0" fontId="9" fillId="0" borderId="7" xfId="0" applyNumberFormat="1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horizontal="center" vertical="center"/>
    </xf>
    <xf numFmtId="0" fontId="6" fillId="0" borderId="7" xfId="0" applyNumberFormat="1" applyFont="1" applyFill="1" applyBorder="1" applyAlignment="1">
      <alignment horizontal="center" vertical="center"/>
    </xf>
    <xf numFmtId="0" fontId="6" fillId="0" borderId="6" xfId="0" applyNumberFormat="1" applyFont="1" applyFill="1" applyBorder="1" applyAlignment="1">
      <alignment horizontal="center" vertical="center"/>
    </xf>
    <xf numFmtId="0" fontId="6" fillId="0" borderId="4" xfId="0" applyNumberFormat="1" applyFont="1" applyFill="1" applyBorder="1" applyAlignment="1">
      <alignment horizontal="center" vertical="center"/>
    </xf>
    <xf numFmtId="0" fontId="6" fillId="0" borderId="12" xfId="0" applyNumberFormat="1" applyFont="1" applyFill="1" applyBorder="1" applyAlignment="1">
      <alignment horizontal="center" vertical="center"/>
    </xf>
    <xf numFmtId="49" fontId="6" fillId="4" borderId="52" xfId="0" applyNumberFormat="1" applyFont="1" applyFill="1" applyBorder="1" applyAlignment="1">
      <alignment horizontal="center" vertical="center"/>
    </xf>
    <xf numFmtId="49" fontId="6" fillId="0" borderId="50" xfId="0" applyNumberFormat="1" applyFont="1" applyFill="1" applyBorder="1" applyAlignment="1">
      <alignment horizontal="center" vertical="center"/>
    </xf>
    <xf numFmtId="0" fontId="6" fillId="4" borderId="47" xfId="0" applyNumberFormat="1" applyFont="1" applyFill="1" applyBorder="1" applyAlignment="1">
      <alignment horizontal="center" vertical="center"/>
    </xf>
    <xf numFmtId="0" fontId="6" fillId="0" borderId="50" xfId="0" applyNumberFormat="1" applyFont="1" applyFill="1" applyBorder="1" applyAlignment="1">
      <alignment horizontal="center" vertical="center"/>
    </xf>
    <xf numFmtId="0" fontId="6" fillId="4" borderId="51" xfId="0" applyNumberFormat="1" applyFont="1" applyFill="1" applyBorder="1" applyAlignment="1">
      <alignment horizontal="center" vertical="center"/>
    </xf>
    <xf numFmtId="0" fontId="6" fillId="0" borderId="53" xfId="0" applyNumberFormat="1" applyFont="1" applyFill="1" applyBorder="1" applyAlignment="1">
      <alignment horizontal="center" vertical="center"/>
    </xf>
    <xf numFmtId="49" fontId="7" fillId="4" borderId="26" xfId="0" applyNumberFormat="1" applyFont="1" applyFill="1" applyBorder="1" applyAlignment="1">
      <alignment horizontal="center" vertical="center"/>
    </xf>
    <xf numFmtId="49" fontId="7" fillId="0" borderId="29" xfId="0" applyNumberFormat="1" applyFont="1" applyFill="1" applyBorder="1" applyAlignment="1">
      <alignment horizontal="center" vertical="center"/>
    </xf>
    <xf numFmtId="49" fontId="7" fillId="4" borderId="48" xfId="0" applyNumberFormat="1" applyFont="1" applyFill="1" applyBorder="1" applyAlignment="1">
      <alignment horizontal="center" vertical="center"/>
    </xf>
    <xf numFmtId="49" fontId="7" fillId="4" borderId="46" xfId="0" applyNumberFormat="1" applyFont="1" applyFill="1" applyBorder="1" applyAlignment="1">
      <alignment horizontal="center" vertical="center"/>
    </xf>
    <xf numFmtId="49" fontId="6" fillId="5" borderId="44" xfId="0" applyNumberFormat="1" applyFont="1" applyFill="1" applyBorder="1" applyAlignment="1">
      <alignment horizontal="center" vertical="center"/>
    </xf>
    <xf numFmtId="49" fontId="6" fillId="5" borderId="43" xfId="0" applyNumberFormat="1" applyFont="1" applyFill="1" applyBorder="1" applyAlignment="1">
      <alignment horizontal="center" vertical="center"/>
    </xf>
    <xf numFmtId="49" fontId="6" fillId="5" borderId="45" xfId="0" applyNumberFormat="1" applyFont="1" applyFill="1" applyBorder="1" applyAlignment="1">
      <alignment horizontal="center" vertical="center"/>
    </xf>
    <xf numFmtId="49" fontId="6" fillId="4" borderId="26" xfId="0" applyNumberFormat="1" applyFont="1" applyFill="1" applyBorder="1" applyAlignment="1">
      <alignment horizontal="center" vertical="center"/>
    </xf>
    <xf numFmtId="49" fontId="6" fillId="0" borderId="29" xfId="0" applyNumberFormat="1" applyFont="1" applyFill="1" applyBorder="1" applyAlignment="1">
      <alignment horizontal="center" vertical="center"/>
    </xf>
    <xf numFmtId="0" fontId="9" fillId="0" borderId="27" xfId="0" applyNumberFormat="1" applyFont="1" applyFill="1" applyBorder="1" applyAlignment="1">
      <alignment horizontal="center" vertical="center"/>
    </xf>
    <xf numFmtId="0" fontId="9" fillId="0" borderId="29" xfId="0" applyNumberFormat="1" applyFont="1" applyFill="1" applyBorder="1" applyAlignment="1">
      <alignment horizontal="center" vertical="center"/>
    </xf>
    <xf numFmtId="0" fontId="6" fillId="0" borderId="27" xfId="0" applyNumberFormat="1" applyFont="1" applyFill="1" applyBorder="1" applyAlignment="1">
      <alignment horizontal="center" vertical="center"/>
    </xf>
    <xf numFmtId="0" fontId="6" fillId="0" borderId="29" xfId="0" applyNumberFormat="1" applyFont="1" applyFill="1" applyBorder="1" applyAlignment="1">
      <alignment horizontal="center" vertical="center"/>
    </xf>
    <xf numFmtId="0" fontId="6" fillId="0" borderId="28" xfId="0" applyNumberFormat="1" applyFont="1" applyFill="1" applyBorder="1" applyAlignment="1">
      <alignment horizontal="center" vertical="center"/>
    </xf>
    <xf numFmtId="0" fontId="6" fillId="0" borderId="18" xfId="0" applyNumberFormat="1" applyFont="1" applyFill="1" applyBorder="1" applyAlignment="1">
      <alignment horizontal="center" vertical="center"/>
    </xf>
    <xf numFmtId="0" fontId="6" fillId="0" borderId="19" xfId="0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5" borderId="22" xfId="0" applyFont="1" applyFill="1" applyBorder="1" applyAlignment="1">
      <alignment horizontal="center" vertical="center"/>
    </xf>
    <xf numFmtId="0" fontId="22" fillId="0" borderId="17" xfId="0" applyFont="1" applyFill="1" applyBorder="1" applyAlignment="1">
      <alignment horizontal="right" vertical="center"/>
    </xf>
    <xf numFmtId="0" fontId="23" fillId="0" borderId="0" xfId="0" applyFont="1" applyFill="1" applyBorder="1" applyAlignment="1">
      <alignment horizontal="right" vertical="center"/>
    </xf>
    <xf numFmtId="0" fontId="22" fillId="0" borderId="34" xfId="0" applyFont="1" applyFill="1" applyBorder="1" applyAlignment="1">
      <alignment horizontal="right" vertical="center"/>
    </xf>
    <xf numFmtId="0" fontId="22" fillId="0" borderId="33" xfId="0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right" vertical="center"/>
    </xf>
    <xf numFmtId="0" fontId="3" fillId="0" borderId="17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right" vertical="center"/>
    </xf>
    <xf numFmtId="0" fontId="24" fillId="0" borderId="34" xfId="0" applyFont="1" applyFill="1" applyBorder="1" applyAlignment="1">
      <alignment horizontal="right" vertical="center"/>
    </xf>
    <xf numFmtId="0" fontId="24" fillId="0" borderId="33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7" fillId="5" borderId="25" xfId="0" applyFont="1" applyFill="1" applyBorder="1" applyAlignment="1">
      <alignment horizontal="center" vertical="center"/>
    </xf>
    <xf numFmtId="0" fontId="17" fillId="5" borderId="24" xfId="0" applyFont="1" applyFill="1" applyBorder="1" applyAlignment="1">
      <alignment horizontal="center" vertical="center"/>
    </xf>
    <xf numFmtId="0" fontId="17" fillId="5" borderId="30" xfId="0" applyFont="1" applyFill="1" applyBorder="1" applyAlignment="1">
      <alignment horizontal="center" vertical="center"/>
    </xf>
    <xf numFmtId="0" fontId="24" fillId="0" borderId="25" xfId="0" applyFont="1" applyFill="1" applyBorder="1" applyAlignment="1">
      <alignment horizontal="right" vertical="center"/>
    </xf>
    <xf numFmtId="0" fontId="24" fillId="0" borderId="24" xfId="0" applyFont="1" applyFill="1" applyBorder="1" applyAlignment="1">
      <alignment horizontal="right" vertical="center"/>
    </xf>
    <xf numFmtId="0" fontId="24" fillId="0" borderId="17" xfId="0" applyFont="1" applyFill="1" applyBorder="1" applyAlignment="1">
      <alignment horizontal="right" vertical="center"/>
    </xf>
    <xf numFmtId="0" fontId="24" fillId="0" borderId="0" xfId="0" applyFont="1" applyFill="1" applyBorder="1" applyAlignment="1">
      <alignment horizontal="right" vertical="center"/>
    </xf>
    <xf numFmtId="0" fontId="0" fillId="5" borderId="0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25" fillId="0" borderId="17" xfId="0" applyFont="1" applyFill="1" applyBorder="1" applyAlignment="1">
      <alignment horizontal="right" vertical="center"/>
    </xf>
    <xf numFmtId="0" fontId="25" fillId="0" borderId="0" xfId="0" applyFont="1" applyFill="1" applyBorder="1" applyAlignment="1">
      <alignment horizontal="right" vertical="center"/>
    </xf>
    <xf numFmtId="0" fontId="0" fillId="11" borderId="0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</cellXfs>
  <cellStyles count="1">
    <cellStyle name="Normal" xfId="0" builtinId="0"/>
  </cellStyles>
  <dxfs count="2081"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787878"/>
      <color rgb="FF280000"/>
      <color rgb="FFE09F9F"/>
      <color rgb="FFE09FFF"/>
      <color rgb="FFC6E0B4"/>
      <color rgb="FFF0F0F0"/>
      <color rgb="FFCFCFCF"/>
      <color rgb="FF262626"/>
      <color rgb="FFD0CDCD"/>
      <color rgb="FFD0CE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firstButton="1" fmlaLink="$Q$3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12700</xdr:rowOff>
    </xdr:from>
    <xdr:to>
      <xdr:col>5</xdr:col>
      <xdr:colOff>0</xdr:colOff>
      <xdr:row>2</xdr:row>
      <xdr:rowOff>0</xdr:rowOff>
    </xdr:to>
    <xdr:sp macro="[0]!main_groupstage" textlink="">
      <xdr:nvSpPr>
        <xdr:cNvPr id="3" name="Pentago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40000" y="647700"/>
          <a:ext cx="1270000" cy="622300"/>
        </a:xfrm>
        <a:prstGeom prst="homePlate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GENERATE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68648</xdr:colOff>
      <xdr:row>0</xdr:row>
      <xdr:rowOff>1355810</xdr:rowOff>
    </xdr:from>
    <xdr:to>
      <xdr:col>5</xdr:col>
      <xdr:colOff>85581</xdr:colOff>
      <xdr:row>1</xdr:row>
      <xdr:rowOff>562118</xdr:rowOff>
    </xdr:to>
    <xdr:sp macro="[0]!main_mainstage" textlink="">
      <xdr:nvSpPr>
        <xdr:cNvPr id="3" name="Pentago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73648" y="1355810"/>
          <a:ext cx="1286933" cy="630767"/>
        </a:xfrm>
        <a:prstGeom prst="homePlate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GENERATE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38100</xdr:rowOff>
        </xdr:from>
        <xdr:to>
          <xdr:col>14</xdr:col>
          <xdr:colOff>609600</xdr:colOff>
          <xdr:row>2</xdr:row>
          <xdr:rowOff>622300</xdr:rowOff>
        </xdr:to>
        <xdr:sp macro="" textlink="">
          <xdr:nvSpPr>
            <xdr:cNvPr id="3085" name="Option Button 1_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2</xdr:row>
          <xdr:rowOff>38100</xdr:rowOff>
        </xdr:from>
        <xdr:to>
          <xdr:col>15</xdr:col>
          <xdr:colOff>622300</xdr:colOff>
          <xdr:row>2</xdr:row>
          <xdr:rowOff>622300</xdr:rowOff>
        </xdr:to>
        <xdr:sp macro="" textlink="">
          <xdr:nvSpPr>
            <xdr:cNvPr id="3086" name="Option Button 1_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4FCE-CF00-584D-BBB0-601DADB3733D}">
  <sheetPr codeName="Sheet1"/>
  <dimension ref="A1:AAM420"/>
  <sheetViews>
    <sheetView tabSelected="1" zoomScale="75" zoomScaleNormal="75" workbookViewId="0">
      <selection activeCell="AF3" sqref="AF3"/>
    </sheetView>
  </sheetViews>
  <sheetFormatPr baseColWidth="10" defaultColWidth="8.33203125" defaultRowHeight="50" customHeight="1"/>
  <cols>
    <col min="1" max="1" width="8.33203125" style="6"/>
    <col min="2" max="2" width="16.5" style="13" customWidth="1"/>
    <col min="3" max="3" width="8.33203125" style="6" customWidth="1"/>
    <col min="4" max="4" width="8.33203125" style="6"/>
    <col min="5" max="6" width="8.33203125" style="6" customWidth="1"/>
    <col min="7" max="8" width="8.33203125" style="4"/>
    <col min="9" max="9" width="8.33203125" style="1" customWidth="1"/>
    <col min="10" max="51" width="8.33203125" style="1"/>
    <col min="52" max="52" width="8.33203125" style="1" customWidth="1"/>
    <col min="53" max="16384" width="8.33203125" style="1"/>
  </cols>
  <sheetData>
    <row r="1" spans="1:715" s="6" customFormat="1" ht="138" customHeight="1" thickBot="1">
      <c r="A1" s="88" t="s">
        <v>1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</row>
    <row r="2" spans="1:715" s="14" customFormat="1" ht="50" customHeight="1" thickBot="1">
      <c r="A2" s="16"/>
      <c r="B2" s="34" t="s">
        <v>0</v>
      </c>
      <c r="C2" s="16"/>
      <c r="D2" s="89"/>
      <c r="E2" s="89"/>
      <c r="F2" s="19"/>
      <c r="G2" s="96" t="s">
        <v>11</v>
      </c>
      <c r="H2" s="97"/>
      <c r="I2" s="97"/>
      <c r="J2" s="98"/>
      <c r="K2" s="21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133" t="s">
        <v>26</v>
      </c>
      <c r="AA2" s="134"/>
      <c r="AB2" s="134"/>
      <c r="AC2" s="135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1"/>
      <c r="AO2" s="21"/>
      <c r="AP2" s="21"/>
      <c r="AQ2" s="21"/>
      <c r="AR2" s="20"/>
      <c r="AS2" s="20"/>
      <c r="AT2" s="20"/>
      <c r="AU2" s="20"/>
      <c r="AV2" s="21"/>
      <c r="AW2" s="21"/>
      <c r="AX2" s="29"/>
      <c r="AY2" s="29"/>
      <c r="AZ2" s="29"/>
      <c r="BA2" s="29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0"/>
      <c r="CM2" s="20"/>
      <c r="CN2" s="20"/>
      <c r="CO2" s="20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</row>
    <row r="3" spans="1:715" s="5" customFormat="1" ht="50" customHeight="1">
      <c r="A3" s="15"/>
      <c r="B3" s="11" t="s">
        <v>18</v>
      </c>
      <c r="C3" s="17"/>
      <c r="D3" s="90"/>
      <c r="E3" s="90"/>
      <c r="F3" s="23"/>
      <c r="G3" s="94"/>
      <c r="H3" s="95"/>
      <c r="I3" s="91" t="s">
        <v>18</v>
      </c>
      <c r="J3" s="92"/>
      <c r="K3" s="91" t="s">
        <v>19</v>
      </c>
      <c r="L3" s="92"/>
      <c r="M3" s="91" t="s">
        <v>33</v>
      </c>
      <c r="N3" s="92"/>
      <c r="O3" s="91" t="s">
        <v>20</v>
      </c>
      <c r="P3" s="92"/>
      <c r="Q3" s="93" t="s">
        <v>21</v>
      </c>
      <c r="R3" s="92"/>
      <c r="S3" s="93" t="s">
        <v>17</v>
      </c>
      <c r="T3" s="92"/>
      <c r="U3" s="93" t="s">
        <v>9</v>
      </c>
      <c r="V3" s="92"/>
      <c r="W3" s="93" t="s">
        <v>16</v>
      </c>
      <c r="X3" s="113"/>
      <c r="Y3" s="24"/>
      <c r="Z3" s="131" t="s">
        <v>25</v>
      </c>
      <c r="AA3" s="132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5"/>
      <c r="AP3" s="24"/>
      <c r="AQ3" s="24"/>
      <c r="AR3" s="24"/>
      <c r="AS3" s="24"/>
      <c r="AT3" s="24"/>
      <c r="AU3" s="24"/>
      <c r="AV3" s="24"/>
      <c r="AW3" s="24"/>
      <c r="AX3" s="21"/>
      <c r="AY3" s="24"/>
      <c r="AZ3" s="21"/>
      <c r="BA3" s="24"/>
      <c r="BB3" s="21"/>
      <c r="BC3" s="24"/>
      <c r="BD3" s="21"/>
      <c r="BE3" s="24"/>
      <c r="BF3" s="21"/>
      <c r="BG3" s="24"/>
      <c r="BH3" s="21"/>
      <c r="BI3" s="24"/>
      <c r="BJ3" s="21"/>
      <c r="BK3" s="24"/>
      <c r="BL3" s="21"/>
      <c r="BM3" s="24"/>
      <c r="BN3" s="21"/>
      <c r="BO3" s="24"/>
      <c r="BP3" s="21"/>
      <c r="BQ3" s="24"/>
      <c r="BR3" s="21"/>
      <c r="BS3" s="24"/>
      <c r="BT3" s="21"/>
      <c r="BU3" s="24"/>
      <c r="BV3" s="21"/>
      <c r="BW3" s="24"/>
      <c r="BX3" s="21"/>
      <c r="BY3" s="24"/>
      <c r="BZ3" s="21"/>
      <c r="CA3" s="24"/>
      <c r="CB3" s="21"/>
      <c r="CC3" s="24"/>
      <c r="CD3" s="21"/>
      <c r="CE3" s="24"/>
      <c r="CF3" s="21"/>
      <c r="CG3" s="24"/>
      <c r="CH3" s="21"/>
      <c r="CI3" s="24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</row>
    <row r="4" spans="1:715" s="2" customFormat="1" ht="50" customHeight="1">
      <c r="A4" s="15" t="s">
        <v>2</v>
      </c>
      <c r="B4" s="11" t="s">
        <v>19</v>
      </c>
      <c r="C4" s="17"/>
      <c r="D4" s="90"/>
      <c r="E4" s="90"/>
      <c r="F4" s="23"/>
      <c r="G4" s="101" t="s">
        <v>18</v>
      </c>
      <c r="H4" s="102"/>
      <c r="I4" s="99"/>
      <c r="J4" s="100"/>
      <c r="K4" s="53">
        <f>$J$5</f>
        <v>0</v>
      </c>
      <c r="L4" s="81">
        <f>$I$5</f>
        <v>0</v>
      </c>
      <c r="M4" s="53">
        <f>$J$6</f>
        <v>0</v>
      </c>
      <c r="N4" s="81">
        <f>$I$6</f>
        <v>0</v>
      </c>
      <c r="O4" s="53">
        <f>$J$7</f>
        <v>0</v>
      </c>
      <c r="P4" s="81">
        <f>$I$7</f>
        <v>0</v>
      </c>
      <c r="Q4" s="51">
        <f>$J$8</f>
        <v>0</v>
      </c>
      <c r="R4" s="81">
        <f>$I$8</f>
        <v>0</v>
      </c>
      <c r="S4" s="51">
        <f>$J$9</f>
        <v>0</v>
      </c>
      <c r="T4" s="81">
        <f>$I$9</f>
        <v>0</v>
      </c>
      <c r="U4" s="51">
        <f>$J$10</f>
        <v>0</v>
      </c>
      <c r="V4" s="81">
        <f>$I$10</f>
        <v>0</v>
      </c>
      <c r="W4" s="51">
        <f>$J$11</f>
        <v>1</v>
      </c>
      <c r="X4" s="52">
        <f>$I$11</f>
        <v>2</v>
      </c>
      <c r="Y4" s="59">
        <f>SUM($I$4,$K$4,$M$4,$O$4,$Q$4,$S$4,$U$4,$W$4,0.032)</f>
        <v>1.032</v>
      </c>
      <c r="Z4" s="57"/>
      <c r="AA4" s="103" t="s">
        <v>18</v>
      </c>
      <c r="AB4" s="104"/>
      <c r="AC4" s="66">
        <v>1</v>
      </c>
      <c r="AD4" s="65"/>
      <c r="AE4" s="103" t="s">
        <v>19</v>
      </c>
      <c r="AF4" s="104"/>
      <c r="AG4" s="56"/>
      <c r="AH4" s="55"/>
      <c r="AI4" s="103" t="s">
        <v>33</v>
      </c>
      <c r="AJ4" s="104"/>
      <c r="AK4" s="56"/>
      <c r="AL4" s="55"/>
      <c r="AM4" s="103" t="s">
        <v>20</v>
      </c>
      <c r="AN4" s="104"/>
      <c r="AO4" s="58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21"/>
      <c r="CL4" s="23"/>
      <c r="CM4" s="21"/>
      <c r="CN4" s="21"/>
      <c r="CO4" s="21"/>
      <c r="CP4" s="23"/>
      <c r="CQ4" s="21"/>
      <c r="CR4" s="21"/>
      <c r="CS4" s="21"/>
      <c r="CT4" s="23"/>
      <c r="CU4" s="21"/>
      <c r="CV4" s="21"/>
      <c r="CW4" s="21"/>
      <c r="CX4" s="23"/>
      <c r="CY4" s="21"/>
      <c r="CZ4" s="21"/>
      <c r="DA4" s="21"/>
      <c r="DB4" s="23"/>
      <c r="DC4" s="21"/>
      <c r="DD4" s="21"/>
      <c r="DE4" s="21"/>
      <c r="DF4" s="23"/>
      <c r="DG4" s="21"/>
      <c r="DH4" s="21"/>
      <c r="DI4" s="21"/>
      <c r="DJ4" s="23"/>
      <c r="DK4" s="21"/>
      <c r="DL4" s="21"/>
      <c r="DM4" s="21"/>
      <c r="DN4" s="23"/>
      <c r="DO4" s="21"/>
      <c r="DP4" s="21"/>
      <c r="DQ4" s="21"/>
      <c r="DR4" s="23"/>
      <c r="DS4" s="21"/>
      <c r="DT4" s="21"/>
      <c r="DU4" s="21"/>
      <c r="DV4" s="23"/>
      <c r="DW4" s="32"/>
      <c r="DX4" s="32"/>
      <c r="DY4" s="31"/>
      <c r="DZ4" s="30"/>
      <c r="EA4" s="32"/>
      <c r="EB4" s="32"/>
      <c r="EC4" s="31"/>
      <c r="ED4" s="30"/>
      <c r="EE4" s="32"/>
      <c r="EF4" s="32"/>
      <c r="EG4" s="31"/>
      <c r="EH4" s="30"/>
      <c r="EI4" s="32"/>
      <c r="EJ4" s="32"/>
      <c r="EK4" s="31"/>
      <c r="EL4" s="30"/>
      <c r="EM4" s="32"/>
      <c r="EN4" s="32"/>
      <c r="EO4" s="31"/>
      <c r="EP4" s="30"/>
      <c r="EQ4" s="32"/>
      <c r="ER4" s="32"/>
      <c r="ES4" s="31"/>
      <c r="ET4" s="30"/>
      <c r="EU4" s="32"/>
      <c r="EV4" s="32"/>
      <c r="EW4" s="31"/>
      <c r="EX4" s="30"/>
      <c r="EY4" s="32"/>
      <c r="EZ4" s="32"/>
      <c r="FA4" s="31"/>
      <c r="FB4" s="30"/>
      <c r="FC4" s="32"/>
      <c r="FD4" s="32"/>
      <c r="FE4" s="31"/>
      <c r="FF4" s="30"/>
      <c r="FG4" s="32"/>
      <c r="FH4" s="32"/>
      <c r="FI4" s="31"/>
      <c r="FJ4" s="30"/>
      <c r="FK4" s="32"/>
      <c r="FL4" s="32"/>
      <c r="FM4" s="31"/>
      <c r="FN4" s="30"/>
      <c r="FO4" s="30"/>
      <c r="FP4" s="30"/>
      <c r="FQ4" s="30"/>
      <c r="FR4" s="30"/>
      <c r="FS4" s="30"/>
      <c r="FT4" s="30"/>
      <c r="FU4" s="30"/>
      <c r="FV4" s="30"/>
      <c r="FW4" s="30"/>
      <c r="FX4" s="30"/>
    </row>
    <row r="5" spans="1:715" s="2" customFormat="1" ht="50" customHeight="1" thickBot="1">
      <c r="A5" s="15"/>
      <c r="B5" s="11" t="s">
        <v>33</v>
      </c>
      <c r="C5" s="17"/>
      <c r="D5" s="90"/>
      <c r="E5" s="90"/>
      <c r="F5" s="22"/>
      <c r="G5" s="101" t="s">
        <v>19</v>
      </c>
      <c r="H5" s="102"/>
      <c r="I5" s="53">
        <f>$AC$29</f>
        <v>0</v>
      </c>
      <c r="J5" s="81">
        <f>$AC$28</f>
        <v>0</v>
      </c>
      <c r="K5" s="99"/>
      <c r="L5" s="100"/>
      <c r="M5" s="53">
        <f>$L$6</f>
        <v>0</v>
      </c>
      <c r="N5" s="81">
        <f>$K$6</f>
        <v>0</v>
      </c>
      <c r="O5" s="53">
        <f>$AG$25</f>
        <v>0</v>
      </c>
      <c r="P5" s="81">
        <f>$AG$24</f>
        <v>0</v>
      </c>
      <c r="Q5" s="51">
        <f>$L$8</f>
        <v>0</v>
      </c>
      <c r="R5" s="81">
        <f>$K$8</f>
        <v>0</v>
      </c>
      <c r="S5" s="51">
        <f>$AK$21</f>
        <v>0</v>
      </c>
      <c r="T5" s="81">
        <f>$AK$20</f>
        <v>0</v>
      </c>
      <c r="U5" s="51">
        <f>$L$10</f>
        <v>0</v>
      </c>
      <c r="V5" s="81">
        <f>$K$10</f>
        <v>0</v>
      </c>
      <c r="W5" s="51">
        <f>$AO$17</f>
        <v>0</v>
      </c>
      <c r="X5" s="52">
        <f>$AO$16</f>
        <v>0</v>
      </c>
      <c r="Y5" s="59">
        <f>SUM($I$5,$K$5,$M$5,$O$5,$Q$5,$S$5,$U$5,$W$5,0.031)</f>
        <v>3.1E-2</v>
      </c>
      <c r="Z5" s="61"/>
      <c r="AA5" s="105" t="s">
        <v>16</v>
      </c>
      <c r="AB5" s="106"/>
      <c r="AC5" s="62">
        <v>2</v>
      </c>
      <c r="AD5" s="63"/>
      <c r="AE5" s="105" t="s">
        <v>9</v>
      </c>
      <c r="AF5" s="106"/>
      <c r="AG5" s="62"/>
      <c r="AH5" s="63"/>
      <c r="AI5" s="105" t="s">
        <v>17</v>
      </c>
      <c r="AJ5" s="106"/>
      <c r="AK5" s="62"/>
      <c r="AL5" s="63"/>
      <c r="AM5" s="105" t="s">
        <v>21</v>
      </c>
      <c r="AN5" s="106"/>
      <c r="AO5" s="64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21"/>
      <c r="CL5" s="23"/>
      <c r="CM5" s="21"/>
      <c r="CN5" s="21"/>
      <c r="CO5" s="21"/>
      <c r="CP5" s="23"/>
      <c r="CQ5" s="21"/>
      <c r="CR5" s="21"/>
      <c r="CS5" s="21"/>
      <c r="CT5" s="23"/>
      <c r="CU5" s="21"/>
      <c r="CV5" s="21"/>
      <c r="CW5" s="21"/>
      <c r="CX5" s="23"/>
      <c r="CY5" s="21"/>
      <c r="CZ5" s="21"/>
      <c r="DA5" s="21"/>
      <c r="DB5" s="23"/>
      <c r="DC5" s="21"/>
      <c r="DD5" s="21"/>
      <c r="DE5" s="21"/>
      <c r="DF5" s="23"/>
      <c r="DG5" s="21"/>
      <c r="DH5" s="21"/>
      <c r="DI5" s="21"/>
      <c r="DJ5" s="23"/>
      <c r="DK5" s="21"/>
      <c r="DL5" s="21"/>
      <c r="DM5" s="21"/>
      <c r="DN5" s="23"/>
      <c r="DO5" s="21"/>
      <c r="DP5" s="21"/>
      <c r="DQ5" s="21"/>
      <c r="DR5" s="23"/>
      <c r="DS5" s="21"/>
      <c r="DT5" s="21"/>
      <c r="DU5" s="21"/>
      <c r="DV5" s="23"/>
      <c r="DW5" s="32"/>
      <c r="DX5" s="32"/>
      <c r="DY5" s="31"/>
      <c r="DZ5" s="30"/>
      <c r="EA5" s="32"/>
      <c r="EB5" s="32"/>
      <c r="EC5" s="31"/>
      <c r="ED5" s="30"/>
      <c r="EE5" s="32"/>
      <c r="EF5" s="32"/>
      <c r="EG5" s="31"/>
      <c r="EH5" s="30"/>
      <c r="EI5" s="32"/>
      <c r="EJ5" s="32"/>
      <c r="EK5" s="31"/>
      <c r="EL5" s="30"/>
      <c r="EM5" s="32"/>
      <c r="EN5" s="32"/>
      <c r="EO5" s="31"/>
      <c r="EP5" s="30"/>
      <c r="EQ5" s="32"/>
      <c r="ER5" s="32"/>
      <c r="ES5" s="31"/>
      <c r="ET5" s="30"/>
      <c r="EU5" s="32"/>
      <c r="EV5" s="32"/>
      <c r="EW5" s="31"/>
      <c r="EX5" s="30"/>
      <c r="EY5" s="32"/>
      <c r="EZ5" s="32"/>
      <c r="FA5" s="31"/>
      <c r="FB5" s="30"/>
      <c r="FC5" s="32"/>
      <c r="FD5" s="32"/>
      <c r="FE5" s="31"/>
      <c r="FF5" s="30"/>
      <c r="FG5" s="32"/>
      <c r="FH5" s="32"/>
      <c r="FI5" s="31"/>
      <c r="FJ5" s="30"/>
      <c r="FK5" s="32"/>
      <c r="FL5" s="32"/>
      <c r="FM5" s="31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</row>
    <row r="6" spans="1:715" s="2" customFormat="1" ht="50" customHeight="1" thickBot="1">
      <c r="A6" s="15"/>
      <c r="B6" s="11" t="s">
        <v>20</v>
      </c>
      <c r="C6" s="17"/>
      <c r="D6" s="90"/>
      <c r="E6" s="90"/>
      <c r="F6" s="22"/>
      <c r="G6" s="101" t="s">
        <v>33</v>
      </c>
      <c r="H6" s="102"/>
      <c r="I6" s="53">
        <f>$AC$25</f>
        <v>0</v>
      </c>
      <c r="J6" s="81">
        <f>$AC$24</f>
        <v>0</v>
      </c>
      <c r="K6" s="53">
        <f>$AO$13</f>
        <v>0</v>
      </c>
      <c r="L6" s="81">
        <f>$AO$12</f>
        <v>0</v>
      </c>
      <c r="M6" s="99"/>
      <c r="N6" s="100"/>
      <c r="O6" s="53">
        <f>$N$7</f>
        <v>0</v>
      </c>
      <c r="P6" s="81">
        <f>$M$7</f>
        <v>0</v>
      </c>
      <c r="Q6" s="51">
        <f>$AG$21</f>
        <v>0</v>
      </c>
      <c r="R6" s="81">
        <f>$AG$20</f>
        <v>0</v>
      </c>
      <c r="S6" s="51">
        <f>$N$9</f>
        <v>0</v>
      </c>
      <c r="T6" s="81">
        <f>$M$9</f>
        <v>0</v>
      </c>
      <c r="U6" s="51">
        <f>$AK$17</f>
        <v>0</v>
      </c>
      <c r="V6" s="81">
        <f>$AK$16</f>
        <v>0</v>
      </c>
      <c r="W6" s="51">
        <f>$N$11</f>
        <v>0</v>
      </c>
      <c r="X6" s="52">
        <f>$M$11</f>
        <v>0</v>
      </c>
      <c r="Y6" s="59">
        <f>SUM($I$6,$K$6,$M$6,$O$6,$Q$6,$S$6,$U$6,$W$6,0.03)</f>
        <v>0.03</v>
      </c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  <c r="DH6" s="23"/>
      <c r="DI6" s="23"/>
      <c r="DJ6" s="23"/>
      <c r="DK6" s="23"/>
      <c r="DL6" s="23"/>
      <c r="DM6" s="23"/>
      <c r="DN6" s="23"/>
      <c r="DO6" s="23"/>
      <c r="DP6" s="23"/>
      <c r="DQ6" s="23"/>
      <c r="DR6" s="23"/>
      <c r="DS6" s="23"/>
      <c r="DT6" s="23"/>
      <c r="DU6" s="23"/>
      <c r="DV6" s="23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30"/>
      <c r="FK6" s="30"/>
      <c r="FL6" s="30"/>
      <c r="FM6" s="30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</row>
    <row r="7" spans="1:715" s="2" customFormat="1" ht="50" customHeight="1">
      <c r="A7" s="15"/>
      <c r="B7" s="11" t="s">
        <v>21</v>
      </c>
      <c r="C7" s="17"/>
      <c r="D7" s="90"/>
      <c r="E7" s="90"/>
      <c r="F7" s="22"/>
      <c r="G7" s="101" t="s">
        <v>20</v>
      </c>
      <c r="H7" s="102"/>
      <c r="I7" s="53">
        <f>$AC$21</f>
        <v>0</v>
      </c>
      <c r="J7" s="81">
        <f>$AC$20</f>
        <v>0</v>
      </c>
      <c r="K7" s="53">
        <f>$P$5</f>
        <v>0</v>
      </c>
      <c r="L7" s="81">
        <f>$O$5</f>
        <v>0</v>
      </c>
      <c r="M7" s="53">
        <f>$AO$9</f>
        <v>0</v>
      </c>
      <c r="N7" s="81">
        <f>$AO$8</f>
        <v>0</v>
      </c>
      <c r="O7" s="99"/>
      <c r="P7" s="100"/>
      <c r="Q7" s="51">
        <f>$P$8</f>
        <v>0</v>
      </c>
      <c r="R7" s="81">
        <f>$O$8</f>
        <v>0</v>
      </c>
      <c r="S7" s="51">
        <f>$AG$17</f>
        <v>0</v>
      </c>
      <c r="T7" s="81">
        <f>$AG$16</f>
        <v>0</v>
      </c>
      <c r="U7" s="51">
        <f>$P$10</f>
        <v>0</v>
      </c>
      <c r="V7" s="81">
        <f>$O$10</f>
        <v>0</v>
      </c>
      <c r="W7" s="51">
        <f>$AK$13</f>
        <v>0</v>
      </c>
      <c r="X7" s="52">
        <f>$AK$12</f>
        <v>0</v>
      </c>
      <c r="Y7" s="59">
        <f>SUM($I$7,$K$7,$M$7,$O$7,$Q$7,$S$7,$U$7,$W$7,0.029)</f>
        <v>2.9000000000000001E-2</v>
      </c>
      <c r="Z7" s="107" t="s">
        <v>27</v>
      </c>
      <c r="AA7" s="108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7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30"/>
      <c r="EI7" s="30"/>
      <c r="EJ7" s="30"/>
      <c r="EK7" s="30"/>
      <c r="EL7" s="30"/>
      <c r="EM7" s="30"/>
      <c r="EN7" s="30"/>
      <c r="EO7" s="30"/>
      <c r="EP7" s="30"/>
      <c r="EQ7" s="30"/>
      <c r="ER7" s="30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30"/>
      <c r="FK7" s="30"/>
      <c r="FL7" s="30"/>
      <c r="FM7" s="30"/>
      <c r="FN7" s="30"/>
      <c r="FO7" s="30"/>
      <c r="FP7" s="30"/>
      <c r="FQ7" s="30"/>
      <c r="FR7" s="30"/>
      <c r="FS7" s="30"/>
      <c r="FT7" s="30"/>
      <c r="FU7" s="30"/>
      <c r="FV7" s="30"/>
      <c r="FW7" s="30"/>
      <c r="FX7" s="30"/>
    </row>
    <row r="8" spans="1:715" s="2" customFormat="1" ht="50" customHeight="1">
      <c r="A8" s="15"/>
      <c r="B8" s="11" t="s">
        <v>17</v>
      </c>
      <c r="C8" s="17"/>
      <c r="D8" s="90"/>
      <c r="E8" s="90"/>
      <c r="F8" s="22"/>
      <c r="G8" s="101" t="s">
        <v>21</v>
      </c>
      <c r="H8" s="102"/>
      <c r="I8" s="53">
        <f>$AC$17</f>
        <v>0</v>
      </c>
      <c r="J8" s="81">
        <f>$AC$16</f>
        <v>0</v>
      </c>
      <c r="K8" s="53">
        <f>$AK$9</f>
        <v>0</v>
      </c>
      <c r="L8" s="81">
        <f>$AK$8</f>
        <v>0</v>
      </c>
      <c r="M8" s="53">
        <f>$R$6</f>
        <v>0</v>
      </c>
      <c r="N8" s="81">
        <f>$Q$6</f>
        <v>0</v>
      </c>
      <c r="O8" s="53">
        <f>$AO$5</f>
        <v>0</v>
      </c>
      <c r="P8" s="81">
        <f>$AO$4</f>
        <v>0</v>
      </c>
      <c r="Q8" s="99"/>
      <c r="R8" s="100"/>
      <c r="S8" s="51">
        <f>$R$9</f>
        <v>0</v>
      </c>
      <c r="T8" s="81">
        <f>$Q$9</f>
        <v>0</v>
      </c>
      <c r="U8" s="51">
        <f>$AG$13</f>
        <v>0</v>
      </c>
      <c r="V8" s="81">
        <f>$AG$12</f>
        <v>0</v>
      </c>
      <c r="W8" s="51">
        <f>$R$11</f>
        <v>0</v>
      </c>
      <c r="X8" s="52">
        <f>$Q$11</f>
        <v>0</v>
      </c>
      <c r="Y8" s="59">
        <f>SUM($I$8,$K$8,$M$8,$O$8,$Q$8,$S$8,$U$8,$W$8,0.028)</f>
        <v>2.8000000000000001E-2</v>
      </c>
      <c r="Z8" s="57"/>
      <c r="AA8" s="103" t="s">
        <v>18</v>
      </c>
      <c r="AB8" s="104"/>
      <c r="AC8" s="56"/>
      <c r="AD8" s="55"/>
      <c r="AE8" s="103" t="s">
        <v>16</v>
      </c>
      <c r="AF8" s="104"/>
      <c r="AG8" s="56"/>
      <c r="AH8" s="55"/>
      <c r="AI8" s="103" t="s">
        <v>19</v>
      </c>
      <c r="AJ8" s="104"/>
      <c r="AK8" s="56"/>
      <c r="AL8" s="55"/>
      <c r="AM8" s="103" t="s">
        <v>33</v>
      </c>
      <c r="AN8" s="104"/>
      <c r="AO8" s="58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21"/>
      <c r="CL8" s="23"/>
      <c r="CM8" s="21"/>
      <c r="CN8" s="21"/>
      <c r="CO8" s="21"/>
      <c r="CP8" s="23"/>
      <c r="CQ8" s="21"/>
      <c r="CR8" s="21"/>
      <c r="CS8" s="21"/>
      <c r="CT8" s="23"/>
      <c r="CU8" s="21"/>
      <c r="CV8" s="21"/>
      <c r="CW8" s="21"/>
      <c r="CX8" s="23"/>
      <c r="CY8" s="21"/>
      <c r="CZ8" s="21"/>
      <c r="DA8" s="21"/>
      <c r="DB8" s="23"/>
      <c r="DC8" s="21"/>
      <c r="DD8" s="21"/>
      <c r="DE8" s="21"/>
      <c r="DF8" s="23"/>
      <c r="DG8" s="21"/>
      <c r="DH8" s="21"/>
      <c r="DI8" s="21"/>
      <c r="DJ8" s="23"/>
      <c r="DK8" s="21"/>
      <c r="DL8" s="21"/>
      <c r="DM8" s="21"/>
      <c r="DN8" s="23"/>
      <c r="DO8" s="21"/>
      <c r="DP8" s="21"/>
      <c r="DQ8" s="21"/>
      <c r="DR8" s="23"/>
      <c r="DS8" s="21"/>
      <c r="DT8" s="21"/>
      <c r="DU8" s="21"/>
      <c r="DV8" s="23"/>
      <c r="DW8" s="32"/>
      <c r="DX8" s="32"/>
      <c r="DY8" s="31"/>
      <c r="DZ8" s="30"/>
      <c r="EA8" s="32"/>
      <c r="EB8" s="32"/>
      <c r="EC8" s="31"/>
      <c r="ED8" s="30"/>
      <c r="EE8" s="32"/>
      <c r="EF8" s="32"/>
      <c r="EG8" s="31"/>
      <c r="EH8" s="30"/>
      <c r="EI8" s="32"/>
      <c r="EJ8" s="32"/>
      <c r="EK8" s="31"/>
      <c r="EL8" s="30"/>
      <c r="EM8" s="32"/>
      <c r="EN8" s="32"/>
      <c r="EO8" s="31"/>
      <c r="EP8" s="30"/>
      <c r="EQ8" s="32"/>
      <c r="ER8" s="32"/>
      <c r="ES8" s="31"/>
      <c r="ET8" s="30"/>
      <c r="EU8" s="32"/>
      <c r="EV8" s="32"/>
      <c r="EW8" s="31"/>
      <c r="EX8" s="30"/>
      <c r="EY8" s="32"/>
      <c r="EZ8" s="32"/>
      <c r="FA8" s="31"/>
      <c r="FB8" s="30"/>
      <c r="FC8" s="32"/>
      <c r="FD8" s="32"/>
      <c r="FE8" s="31"/>
      <c r="FF8" s="30"/>
      <c r="FG8" s="32"/>
      <c r="FH8" s="32"/>
      <c r="FI8" s="31"/>
      <c r="FJ8" s="30"/>
      <c r="FK8" s="32"/>
      <c r="FL8" s="32"/>
      <c r="FM8" s="31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</row>
    <row r="9" spans="1:715" s="2" customFormat="1" ht="50" customHeight="1" thickBot="1">
      <c r="A9" s="7"/>
      <c r="B9" s="11" t="s">
        <v>9</v>
      </c>
      <c r="C9" s="10"/>
      <c r="D9" s="7"/>
      <c r="E9" s="7"/>
      <c r="F9" s="23"/>
      <c r="G9" s="101" t="s">
        <v>17</v>
      </c>
      <c r="H9" s="102"/>
      <c r="I9" s="53">
        <f>$AC$13</f>
        <v>0</v>
      </c>
      <c r="J9" s="81">
        <f>$AC$12</f>
        <v>0</v>
      </c>
      <c r="K9" s="53">
        <f>$T$5</f>
        <v>0</v>
      </c>
      <c r="L9" s="81">
        <f>$S$5</f>
        <v>0</v>
      </c>
      <c r="M9" s="53">
        <f>$AK$5</f>
        <v>0</v>
      </c>
      <c r="N9" s="81">
        <f>$AK$4</f>
        <v>0</v>
      </c>
      <c r="O9" s="53">
        <f>$T$7</f>
        <v>0</v>
      </c>
      <c r="P9" s="81">
        <f>$S$7</f>
        <v>0</v>
      </c>
      <c r="Q9" s="51">
        <f>$AO$29</f>
        <v>0</v>
      </c>
      <c r="R9" s="81">
        <f>$AO$28</f>
        <v>0</v>
      </c>
      <c r="S9" s="99"/>
      <c r="T9" s="100"/>
      <c r="U9" s="51">
        <f>$T$10</f>
        <v>0</v>
      </c>
      <c r="V9" s="81">
        <f>$S$10</f>
        <v>0</v>
      </c>
      <c r="W9" s="51">
        <f>$AG$9</f>
        <v>0</v>
      </c>
      <c r="X9" s="52">
        <f>$AG$8</f>
        <v>0</v>
      </c>
      <c r="Y9" s="59">
        <f>SUM($I$9,$K$9,$M$9,$O$9,$Q$9,$S$9,$U$9,$W$9,0.027)</f>
        <v>2.7E-2</v>
      </c>
      <c r="Z9" s="61"/>
      <c r="AA9" s="105" t="s">
        <v>9</v>
      </c>
      <c r="AB9" s="106"/>
      <c r="AC9" s="62"/>
      <c r="AD9" s="63"/>
      <c r="AE9" s="105" t="s">
        <v>17</v>
      </c>
      <c r="AF9" s="106"/>
      <c r="AG9" s="62"/>
      <c r="AH9" s="63"/>
      <c r="AI9" s="105" t="s">
        <v>21</v>
      </c>
      <c r="AJ9" s="106"/>
      <c r="AK9" s="62"/>
      <c r="AL9" s="63"/>
      <c r="AM9" s="105" t="s">
        <v>20</v>
      </c>
      <c r="AN9" s="106"/>
      <c r="AO9" s="64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21"/>
      <c r="CL9" s="23"/>
      <c r="CM9" s="21"/>
      <c r="CN9" s="21"/>
      <c r="CO9" s="21"/>
      <c r="CP9" s="23"/>
      <c r="CQ9" s="21"/>
      <c r="CR9" s="21"/>
      <c r="CS9" s="21"/>
      <c r="CT9" s="23"/>
      <c r="CU9" s="21"/>
      <c r="CV9" s="21"/>
      <c r="CW9" s="21"/>
      <c r="CX9" s="23"/>
      <c r="CY9" s="21"/>
      <c r="CZ9" s="21"/>
      <c r="DA9" s="21"/>
      <c r="DB9" s="23"/>
      <c r="DC9" s="21"/>
      <c r="DD9" s="21"/>
      <c r="DE9" s="21"/>
      <c r="DF9" s="23"/>
      <c r="DG9" s="21"/>
      <c r="DH9" s="21"/>
      <c r="DI9" s="21"/>
      <c r="DJ9" s="23"/>
      <c r="DK9" s="21"/>
      <c r="DL9" s="21"/>
      <c r="DM9" s="21"/>
      <c r="DN9" s="23"/>
      <c r="DO9" s="21"/>
      <c r="DP9" s="21"/>
      <c r="DQ9" s="21"/>
      <c r="DR9" s="23"/>
      <c r="DS9" s="21"/>
      <c r="DT9" s="21"/>
      <c r="DU9" s="21"/>
      <c r="DV9" s="23"/>
      <c r="DW9" s="32"/>
      <c r="DX9" s="32"/>
      <c r="DY9" s="31"/>
      <c r="DZ9" s="30"/>
      <c r="EA9" s="32"/>
      <c r="EB9" s="32"/>
      <c r="EC9" s="31"/>
      <c r="ED9" s="30"/>
      <c r="EE9" s="32"/>
      <c r="EF9" s="32"/>
      <c r="EG9" s="31"/>
      <c r="EH9" s="30"/>
      <c r="EI9" s="32"/>
      <c r="EJ9" s="32"/>
      <c r="EK9" s="31"/>
      <c r="EL9" s="30"/>
      <c r="EM9" s="32"/>
      <c r="EN9" s="32"/>
      <c r="EO9" s="31"/>
      <c r="EP9" s="30"/>
      <c r="EQ9" s="32"/>
      <c r="ER9" s="32"/>
      <c r="ES9" s="31"/>
      <c r="ET9" s="30"/>
      <c r="EU9" s="32"/>
      <c r="EV9" s="32"/>
      <c r="EW9" s="31"/>
      <c r="EX9" s="30"/>
      <c r="EY9" s="32"/>
      <c r="EZ9" s="32"/>
      <c r="FA9" s="31"/>
      <c r="FB9" s="30"/>
      <c r="FC9" s="32"/>
      <c r="FD9" s="32"/>
      <c r="FE9" s="31"/>
      <c r="FF9" s="30"/>
      <c r="FG9" s="32"/>
      <c r="FH9" s="32"/>
      <c r="FI9" s="31"/>
      <c r="FJ9" s="30"/>
      <c r="FK9" s="32"/>
      <c r="FL9" s="32"/>
      <c r="FM9" s="31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</row>
    <row r="10" spans="1:715" s="2" customFormat="1" ht="50" customHeight="1" thickBot="1">
      <c r="A10" s="7"/>
      <c r="B10" s="11" t="s">
        <v>16</v>
      </c>
      <c r="C10" s="10"/>
      <c r="D10" s="7"/>
      <c r="E10" s="7"/>
      <c r="F10" s="25"/>
      <c r="G10" s="111" t="s">
        <v>9</v>
      </c>
      <c r="H10" s="112"/>
      <c r="I10" s="54">
        <f>$AC$9</f>
        <v>0</v>
      </c>
      <c r="J10" s="49">
        <f>$AC$8</f>
        <v>0</v>
      </c>
      <c r="K10" s="54">
        <f>$AG$5</f>
        <v>0</v>
      </c>
      <c r="L10" s="49">
        <f>$AG$4</f>
        <v>0</v>
      </c>
      <c r="M10" s="54">
        <f>$V$6</f>
        <v>0</v>
      </c>
      <c r="N10" s="49">
        <f>$U$6</f>
        <v>0</v>
      </c>
      <c r="O10" s="54">
        <f>$AK$29</f>
        <v>0</v>
      </c>
      <c r="P10" s="49">
        <f>$AK$28</f>
        <v>0</v>
      </c>
      <c r="Q10" s="48">
        <f>$V$8</f>
        <v>0</v>
      </c>
      <c r="R10" s="49">
        <f>$U$8</f>
        <v>0</v>
      </c>
      <c r="S10" s="48">
        <f>$AO$25</f>
        <v>0</v>
      </c>
      <c r="T10" s="49">
        <f>$AO$24</f>
        <v>0</v>
      </c>
      <c r="U10" s="99"/>
      <c r="V10" s="100"/>
      <c r="W10" s="48">
        <f>$V$11</f>
        <v>0</v>
      </c>
      <c r="X10" s="50">
        <f>$U$11</f>
        <v>0</v>
      </c>
      <c r="Y10" s="59">
        <f>SUM($I$10,$K$10,$M$10,$O$10,$Q$10,$S$10,$U$10,$W$10,0.026)</f>
        <v>2.5999999999999999E-2</v>
      </c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3"/>
      <c r="DW10" s="30"/>
      <c r="DX10" s="30"/>
      <c r="DY10" s="30"/>
      <c r="DZ10" s="30"/>
      <c r="EA10" s="30"/>
      <c r="EB10" s="30"/>
      <c r="EC10" s="30"/>
      <c r="ED10" s="30"/>
      <c r="EE10" s="30"/>
      <c r="EF10" s="30"/>
      <c r="EG10" s="30"/>
      <c r="EH10" s="30"/>
      <c r="EI10" s="30"/>
      <c r="EJ10" s="30"/>
      <c r="EK10" s="30"/>
      <c r="EL10" s="30"/>
      <c r="EM10" s="30"/>
      <c r="EN10" s="30"/>
      <c r="EO10" s="30"/>
      <c r="EP10" s="30"/>
      <c r="EQ10" s="30"/>
      <c r="ER10" s="30"/>
      <c r="ES10" s="30"/>
      <c r="ET10" s="30"/>
      <c r="EU10" s="30"/>
      <c r="EV10" s="30"/>
      <c r="EW10" s="30"/>
      <c r="EX10" s="30"/>
      <c r="EY10" s="30"/>
      <c r="EZ10" s="30"/>
      <c r="FA10" s="30"/>
      <c r="FB10" s="30"/>
      <c r="FC10" s="30"/>
      <c r="FD10" s="30"/>
      <c r="FE10" s="30"/>
      <c r="FF10" s="30"/>
      <c r="FG10" s="30"/>
      <c r="FH10" s="30"/>
      <c r="FI10" s="30"/>
      <c r="FJ10" s="30"/>
      <c r="FK10" s="30"/>
      <c r="FL10" s="30"/>
      <c r="FM10" s="30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  <c r="AAA10" s="3"/>
      <c r="AAB10" s="3"/>
      <c r="AAC10" s="3"/>
      <c r="AAD10" s="3"/>
      <c r="AAE10" s="3"/>
      <c r="AAF10" s="3"/>
      <c r="AAG10" s="3"/>
      <c r="AAH10" s="3"/>
      <c r="AAI10" s="3"/>
      <c r="AAJ10" s="3"/>
      <c r="AAK10" s="3"/>
      <c r="AAL10" s="3"/>
      <c r="AAM10" s="3"/>
    </row>
    <row r="11" spans="1:715" s="2" customFormat="1" ht="50" customHeight="1" thickBot="1">
      <c r="A11" s="7"/>
      <c r="B11" s="11"/>
      <c r="C11" s="10"/>
      <c r="D11" s="7"/>
      <c r="E11" s="7"/>
      <c r="F11" s="25"/>
      <c r="G11" s="129" t="s">
        <v>16</v>
      </c>
      <c r="H11" s="130"/>
      <c r="I11" s="82">
        <f>$AC$5</f>
        <v>2</v>
      </c>
      <c r="J11" s="62">
        <f>$AC$4</f>
        <v>1</v>
      </c>
      <c r="K11" s="82">
        <f>$X$5</f>
        <v>0</v>
      </c>
      <c r="L11" s="62">
        <f>$W$5</f>
        <v>0</v>
      </c>
      <c r="M11" s="82">
        <f>$AG$29</f>
        <v>0</v>
      </c>
      <c r="N11" s="62">
        <f>$AG$28</f>
        <v>0</v>
      </c>
      <c r="O11" s="82">
        <f>$X$7</f>
        <v>0</v>
      </c>
      <c r="P11" s="62">
        <f>$W$7</f>
        <v>0</v>
      </c>
      <c r="Q11" s="83">
        <f>$AK$25</f>
        <v>0</v>
      </c>
      <c r="R11" s="62">
        <f>$AK$24</f>
        <v>0</v>
      </c>
      <c r="S11" s="83">
        <f>$X$9</f>
        <v>0</v>
      </c>
      <c r="T11" s="62">
        <f>$W$9</f>
        <v>0</v>
      </c>
      <c r="U11" s="83">
        <f>$AO$21</f>
        <v>0</v>
      </c>
      <c r="V11" s="62">
        <f>$AO$20</f>
        <v>0</v>
      </c>
      <c r="W11" s="109"/>
      <c r="X11" s="110"/>
      <c r="Y11" s="59">
        <f>SUM($I$11,$K$11,$M$11,$O$11,$Q$11,$S$11,$U$11,$W$11,0.025)</f>
        <v>2.0249999999999999</v>
      </c>
      <c r="Z11" s="107" t="s">
        <v>28</v>
      </c>
      <c r="AA11" s="108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30"/>
      <c r="DX11" s="3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30"/>
      <c r="EL11" s="30"/>
      <c r="EM11" s="30"/>
      <c r="EN11" s="30"/>
      <c r="EO11" s="30"/>
      <c r="EP11" s="30"/>
      <c r="EQ11" s="30"/>
      <c r="ER11" s="30"/>
      <c r="ES11" s="30"/>
      <c r="ET11" s="30"/>
      <c r="EU11" s="30"/>
      <c r="EV11" s="30"/>
      <c r="EW11" s="30"/>
      <c r="EX11" s="30"/>
      <c r="EY11" s="30"/>
      <c r="EZ11" s="30"/>
      <c r="FA11" s="30"/>
      <c r="FB11" s="30"/>
      <c r="FC11" s="30"/>
      <c r="FD11" s="30"/>
      <c r="FE11" s="30"/>
      <c r="FF11" s="30"/>
      <c r="FG11" s="30"/>
      <c r="FH11" s="30"/>
      <c r="FI11" s="30"/>
      <c r="FJ11" s="30"/>
      <c r="FK11" s="30"/>
      <c r="FL11" s="3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  <c r="AAA11" s="3"/>
      <c r="AAB11" s="3"/>
      <c r="AAC11" s="3"/>
      <c r="AAD11" s="3"/>
      <c r="AAE11" s="3"/>
      <c r="AAF11" s="3"/>
      <c r="AAG11" s="3"/>
      <c r="AAH11" s="3"/>
      <c r="AAI11" s="3"/>
      <c r="AAJ11" s="3"/>
      <c r="AAK11" s="3"/>
      <c r="AAL11" s="3"/>
      <c r="AAM11" s="3"/>
    </row>
    <row r="12" spans="1:715" s="2" customFormat="1" ht="50" customHeight="1" thickBot="1">
      <c r="A12" s="7"/>
      <c r="B12" s="11"/>
      <c r="C12" s="10"/>
      <c r="D12" s="7"/>
      <c r="E12" s="7"/>
      <c r="F12" s="23"/>
      <c r="G12" s="20"/>
      <c r="H12" s="20"/>
      <c r="I12" s="28"/>
      <c r="J12" s="28"/>
      <c r="K12" s="26"/>
      <c r="L12" s="26"/>
      <c r="M12" s="26"/>
      <c r="N12" s="26"/>
      <c r="O12" s="26"/>
      <c r="P12" s="26"/>
      <c r="Q12" s="41"/>
      <c r="R12" s="41"/>
      <c r="S12" s="41"/>
      <c r="T12" s="41"/>
      <c r="U12" s="41"/>
      <c r="V12" s="41"/>
      <c r="W12" s="41"/>
      <c r="X12" s="41"/>
      <c r="Y12" s="41"/>
      <c r="Z12" s="57"/>
      <c r="AA12" s="103" t="s">
        <v>18</v>
      </c>
      <c r="AB12" s="104"/>
      <c r="AC12" s="56"/>
      <c r="AD12" s="55"/>
      <c r="AE12" s="103" t="s">
        <v>9</v>
      </c>
      <c r="AF12" s="104"/>
      <c r="AG12" s="56"/>
      <c r="AH12" s="55"/>
      <c r="AI12" s="103" t="s">
        <v>16</v>
      </c>
      <c r="AJ12" s="104"/>
      <c r="AK12" s="56"/>
      <c r="AL12" s="55"/>
      <c r="AM12" s="103" t="s">
        <v>19</v>
      </c>
      <c r="AN12" s="104"/>
      <c r="AO12" s="58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21"/>
      <c r="CL12" s="23"/>
      <c r="CM12" s="21"/>
      <c r="CN12" s="21"/>
      <c r="CO12" s="21"/>
      <c r="CP12" s="23"/>
      <c r="CQ12" s="21"/>
      <c r="CR12" s="21"/>
      <c r="CS12" s="21"/>
      <c r="CT12" s="23"/>
      <c r="CU12" s="21"/>
      <c r="CV12" s="21"/>
      <c r="CW12" s="21"/>
      <c r="CX12" s="23"/>
      <c r="CY12" s="21"/>
      <c r="CZ12" s="21"/>
      <c r="DA12" s="21"/>
      <c r="DB12" s="23"/>
      <c r="DC12" s="21"/>
      <c r="DD12" s="21"/>
      <c r="DE12" s="21"/>
      <c r="DF12" s="23"/>
      <c r="DG12" s="21"/>
      <c r="DH12" s="21"/>
      <c r="DI12" s="21"/>
      <c r="DJ12" s="23"/>
      <c r="DK12" s="21"/>
      <c r="DL12" s="21"/>
      <c r="DM12" s="21"/>
      <c r="DN12" s="23"/>
      <c r="DO12" s="21"/>
      <c r="DP12" s="21"/>
      <c r="DQ12" s="21"/>
      <c r="DR12" s="23"/>
      <c r="DS12" s="21"/>
      <c r="DT12" s="21"/>
      <c r="DU12" s="21"/>
      <c r="DV12" s="23"/>
      <c r="DW12" s="32"/>
      <c r="DX12" s="32"/>
      <c r="DY12" s="31"/>
      <c r="DZ12" s="30"/>
      <c r="EA12" s="32"/>
      <c r="EB12" s="32"/>
      <c r="EC12" s="31"/>
      <c r="ED12" s="30"/>
      <c r="EE12" s="32"/>
      <c r="EF12" s="32"/>
      <c r="EG12" s="31"/>
      <c r="EH12" s="30"/>
      <c r="EI12" s="32"/>
      <c r="EJ12" s="32"/>
      <c r="EK12" s="31"/>
      <c r="EL12" s="30"/>
      <c r="EM12" s="32"/>
      <c r="EN12" s="32"/>
      <c r="EO12" s="31"/>
      <c r="EP12" s="30"/>
      <c r="EQ12" s="32"/>
      <c r="ER12" s="32"/>
      <c r="ES12" s="31"/>
      <c r="ET12" s="30"/>
      <c r="EU12" s="32"/>
      <c r="EV12" s="32"/>
      <c r="EW12" s="31"/>
      <c r="EX12" s="30"/>
      <c r="EY12" s="32"/>
      <c r="EZ12" s="32"/>
      <c r="FA12" s="31"/>
      <c r="FB12" s="30"/>
      <c r="FC12" s="32"/>
      <c r="FD12" s="32"/>
      <c r="FE12" s="31"/>
      <c r="FF12" s="30"/>
      <c r="FG12" s="32"/>
      <c r="FH12" s="32"/>
      <c r="FI12" s="31"/>
      <c r="FJ12" s="30"/>
      <c r="FK12" s="32"/>
      <c r="FL12" s="32"/>
      <c r="FM12" s="31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  <c r="AAA12" s="3"/>
      <c r="AAB12" s="3"/>
      <c r="AAC12" s="3"/>
      <c r="AAD12" s="3"/>
      <c r="AAE12" s="3"/>
      <c r="AAF12" s="3"/>
      <c r="AAG12" s="3"/>
      <c r="AAH12" s="3"/>
      <c r="AAI12" s="3"/>
      <c r="AAJ12" s="3"/>
      <c r="AAK12" s="3"/>
      <c r="AAL12" s="3"/>
      <c r="AAM12" s="3"/>
    </row>
    <row r="13" spans="1:715" s="2" customFormat="1" ht="50" customHeight="1" thickBot="1">
      <c r="A13" s="7"/>
      <c r="B13" s="11"/>
      <c r="C13" s="10"/>
      <c r="D13" s="7"/>
      <c r="E13" s="7"/>
      <c r="F13" s="23"/>
      <c r="G13" s="133" t="s">
        <v>12</v>
      </c>
      <c r="H13" s="134"/>
      <c r="I13" s="134"/>
      <c r="J13" s="135"/>
      <c r="K13" s="26"/>
      <c r="L13" s="26"/>
      <c r="M13" s="26"/>
      <c r="N13" s="26"/>
      <c r="O13" s="26"/>
      <c r="P13" s="26"/>
      <c r="Q13" s="41"/>
      <c r="R13" s="41"/>
      <c r="S13" s="41"/>
      <c r="T13" s="41"/>
      <c r="U13" s="41"/>
      <c r="V13" s="41"/>
      <c r="W13" s="41"/>
      <c r="X13" s="41"/>
      <c r="Y13" s="41"/>
      <c r="Z13" s="61"/>
      <c r="AA13" s="105" t="s">
        <v>17</v>
      </c>
      <c r="AB13" s="106"/>
      <c r="AC13" s="62"/>
      <c r="AD13" s="63"/>
      <c r="AE13" s="105" t="s">
        <v>21</v>
      </c>
      <c r="AF13" s="106"/>
      <c r="AG13" s="62"/>
      <c r="AH13" s="63"/>
      <c r="AI13" s="105" t="s">
        <v>20</v>
      </c>
      <c r="AJ13" s="106"/>
      <c r="AK13" s="62"/>
      <c r="AL13" s="63"/>
      <c r="AM13" s="105" t="s">
        <v>33</v>
      </c>
      <c r="AN13" s="106"/>
      <c r="AO13" s="64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21"/>
      <c r="CL13" s="23"/>
      <c r="CM13" s="21"/>
      <c r="CN13" s="21"/>
      <c r="CO13" s="21"/>
      <c r="CP13" s="23"/>
      <c r="CQ13" s="21"/>
      <c r="CR13" s="21"/>
      <c r="CS13" s="21"/>
      <c r="CT13" s="23"/>
      <c r="CU13" s="21"/>
      <c r="CV13" s="21"/>
      <c r="CW13" s="21"/>
      <c r="CX13" s="23"/>
      <c r="CY13" s="21"/>
      <c r="CZ13" s="21"/>
      <c r="DA13" s="21"/>
      <c r="DB13" s="23"/>
      <c r="DC13" s="21"/>
      <c r="DD13" s="21"/>
      <c r="DE13" s="21"/>
      <c r="DF13" s="23"/>
      <c r="DG13" s="21"/>
      <c r="DH13" s="21"/>
      <c r="DI13" s="21"/>
      <c r="DJ13" s="23"/>
      <c r="DK13" s="21"/>
      <c r="DL13" s="21"/>
      <c r="DM13" s="21"/>
      <c r="DN13" s="23"/>
      <c r="DO13" s="21"/>
      <c r="DP13" s="21"/>
      <c r="DQ13" s="21"/>
      <c r="DR13" s="23"/>
      <c r="DS13" s="21"/>
      <c r="DT13" s="21"/>
      <c r="DU13" s="21"/>
      <c r="DV13" s="23"/>
      <c r="DW13" s="32"/>
      <c r="DX13" s="32"/>
      <c r="DY13" s="31"/>
      <c r="DZ13" s="30"/>
      <c r="EA13" s="32"/>
      <c r="EB13" s="32"/>
      <c r="EC13" s="31"/>
      <c r="ED13" s="30"/>
      <c r="EE13" s="32"/>
      <c r="EF13" s="32"/>
      <c r="EG13" s="31"/>
      <c r="EH13" s="30"/>
      <c r="EI13" s="32"/>
      <c r="EJ13" s="32"/>
      <c r="EK13" s="31"/>
      <c r="EL13" s="30"/>
      <c r="EM13" s="32"/>
      <c r="EN13" s="32"/>
      <c r="EO13" s="31"/>
      <c r="EP13" s="30"/>
      <c r="EQ13" s="32"/>
      <c r="ER13" s="32"/>
      <c r="ES13" s="31"/>
      <c r="ET13" s="30"/>
      <c r="EU13" s="32"/>
      <c r="EV13" s="32"/>
      <c r="EW13" s="31"/>
      <c r="EX13" s="30"/>
      <c r="EY13" s="32"/>
      <c r="EZ13" s="32"/>
      <c r="FA13" s="31"/>
      <c r="FB13" s="30"/>
      <c r="FC13" s="32"/>
      <c r="FD13" s="32"/>
      <c r="FE13" s="31"/>
      <c r="FF13" s="30"/>
      <c r="FG13" s="32"/>
      <c r="FH13" s="32"/>
      <c r="FI13" s="31"/>
      <c r="FJ13" s="30"/>
      <c r="FK13" s="32"/>
      <c r="FL13" s="32"/>
      <c r="FM13" s="31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  <c r="AAA13" s="3"/>
      <c r="AAB13" s="3"/>
      <c r="AAC13" s="3"/>
      <c r="AAD13" s="3"/>
      <c r="AAE13" s="3"/>
      <c r="AAF13" s="3"/>
      <c r="AAG13" s="3"/>
      <c r="AAH13" s="3"/>
      <c r="AAI13" s="3"/>
      <c r="AAJ13" s="3"/>
      <c r="AAK13" s="3"/>
      <c r="AAL13" s="3"/>
      <c r="AAM13" s="3"/>
    </row>
    <row r="14" spans="1:715" s="2" customFormat="1" ht="50" customHeight="1" thickBot="1">
      <c r="A14" s="7"/>
      <c r="B14" s="11"/>
      <c r="C14" s="7"/>
      <c r="D14" s="7"/>
      <c r="E14" s="7"/>
      <c r="F14" s="23"/>
      <c r="G14" s="123" t="s">
        <v>6</v>
      </c>
      <c r="H14" s="124"/>
      <c r="I14" s="125" t="s">
        <v>7</v>
      </c>
      <c r="J14" s="126"/>
      <c r="K14" s="125" t="s">
        <v>8</v>
      </c>
      <c r="L14" s="126"/>
      <c r="M14" s="127" t="s">
        <v>13</v>
      </c>
      <c r="N14" s="126"/>
      <c r="O14" s="127" t="s">
        <v>14</v>
      </c>
      <c r="P14" s="128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3"/>
      <c r="DW14" s="30"/>
      <c r="DX14" s="3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30"/>
      <c r="EM14" s="30"/>
      <c r="EN14" s="30"/>
      <c r="EO14" s="30"/>
      <c r="EP14" s="30"/>
      <c r="EQ14" s="30"/>
      <c r="ER14" s="3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30"/>
      <c r="FL14" s="3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  <c r="AAA14" s="3"/>
      <c r="AAB14" s="3"/>
      <c r="AAC14" s="3"/>
      <c r="AAD14" s="3"/>
      <c r="AAE14" s="3"/>
      <c r="AAF14" s="3"/>
      <c r="AAG14" s="3"/>
      <c r="AAH14" s="3"/>
      <c r="AAI14" s="3"/>
      <c r="AAJ14" s="3"/>
      <c r="AAK14" s="3"/>
      <c r="AAL14" s="3"/>
      <c r="AAM14" s="3"/>
    </row>
    <row r="15" spans="1:715" s="2" customFormat="1" ht="50" customHeight="1">
      <c r="A15" s="7"/>
      <c r="B15" s="11"/>
      <c r="C15" s="7"/>
      <c r="D15" s="7"/>
      <c r="E15" s="7"/>
      <c r="F15" s="23"/>
      <c r="G15" s="114" t="s">
        <v>3</v>
      </c>
      <c r="H15" s="115"/>
      <c r="I15" s="116" t="str">
        <f>INDEX($B$3:$B$10, MATCH(LARGE($Y$4:$Y$11,1),$Y$4:$Y$11,0))</f>
        <v>Herman</v>
      </c>
      <c r="J15" s="117"/>
      <c r="K15" s="118">
        <f>INT(LARGE($Y$4:$Y$11,1))</f>
        <v>2</v>
      </c>
      <c r="L15" s="119"/>
      <c r="M15" s="120">
        <f ca="1">COUNTIF(OFFSET($I$3:$X$3, MATCH(LARGE($Y$4:$Y$11,1 ),$Y$4:$Y$11,0),0,1,16),  "&gt;= 2" )</f>
        <v>1</v>
      </c>
      <c r="N15" s="119"/>
      <c r="O15" s="121">
        <f t="array" aca="1" ref="O15" ca="1">COUNT(IF(IF(MOD(COLUMN(OFFSET($I$3:$X$3, MATCH(LARGE($Y$4:$Y$11,1 ),$Y$4:$Y$11,0),0,1,16))+1,2)=0,OFFSET($I$3:$X$3, MATCH(LARGE($Y$4:$Y$11,1 ),$Y$4:$Y$11,0),0,1,16),0)=2,OFFSET($I$3:$X$3, MATCH(LARGE($Y$4:$Y$11,1 ),$Y$4:$Y$11,0),0,1,16),""))</f>
        <v>1</v>
      </c>
      <c r="P15" s="122"/>
      <c r="Q15" s="41"/>
      <c r="R15" s="41"/>
      <c r="S15" s="41"/>
      <c r="T15" s="41"/>
      <c r="U15" s="41"/>
      <c r="V15" s="41"/>
      <c r="W15" s="41"/>
      <c r="X15" s="41"/>
      <c r="Y15" s="41"/>
      <c r="Z15" s="107" t="s">
        <v>29</v>
      </c>
      <c r="AA15" s="108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7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30"/>
      <c r="DX15" s="30"/>
      <c r="DY15" s="30"/>
      <c r="DZ15" s="30"/>
      <c r="EA15" s="30"/>
      <c r="EB15" s="30"/>
      <c r="EC15" s="30"/>
      <c r="ED15" s="30"/>
      <c r="EE15" s="30"/>
      <c r="EF15" s="30"/>
      <c r="EG15" s="30"/>
      <c r="EH15" s="30"/>
      <c r="EI15" s="30"/>
      <c r="EJ15" s="30"/>
      <c r="EK15" s="30"/>
      <c r="EL15" s="30"/>
      <c r="EM15" s="30"/>
      <c r="EN15" s="30"/>
      <c r="EO15" s="30"/>
      <c r="EP15" s="30"/>
      <c r="EQ15" s="30"/>
      <c r="ER15" s="30"/>
      <c r="ES15" s="30"/>
      <c r="ET15" s="30"/>
      <c r="EU15" s="30"/>
      <c r="EV15" s="30"/>
      <c r="EW15" s="30"/>
      <c r="EX15" s="30"/>
      <c r="EY15" s="30"/>
      <c r="EZ15" s="30"/>
      <c r="FA15" s="30"/>
      <c r="FB15" s="30"/>
      <c r="FC15" s="30"/>
      <c r="FD15" s="30"/>
      <c r="FE15" s="30"/>
      <c r="FF15" s="30"/>
      <c r="FG15" s="30"/>
      <c r="FH15" s="30"/>
      <c r="FI15" s="30"/>
      <c r="FJ15" s="30"/>
      <c r="FK15" s="30"/>
      <c r="FL15" s="30"/>
      <c r="FM15" s="30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  <c r="AAA15" s="3"/>
      <c r="AAB15" s="3"/>
      <c r="AAC15" s="3"/>
      <c r="AAD15" s="3"/>
      <c r="AAE15" s="3"/>
      <c r="AAF15" s="3"/>
      <c r="AAG15" s="3"/>
      <c r="AAH15" s="3"/>
      <c r="AAI15" s="3"/>
      <c r="AAJ15" s="3"/>
      <c r="AAK15" s="3"/>
      <c r="AAL15" s="3"/>
      <c r="AAM15" s="3"/>
    </row>
    <row r="16" spans="1:715" s="2" customFormat="1" ht="50" customHeight="1">
      <c r="A16" s="7"/>
      <c r="B16" s="11"/>
      <c r="C16" s="7"/>
      <c r="D16" s="7"/>
      <c r="E16" s="7"/>
      <c r="F16" s="23"/>
      <c r="G16" s="114" t="s">
        <v>4</v>
      </c>
      <c r="H16" s="115"/>
      <c r="I16" s="116" t="str">
        <f>INDEX($B$3:$B$10, MATCH(LARGE($Y$4:$Y$11,2),$Y$4:$Y$11,0))</f>
        <v>Markus</v>
      </c>
      <c r="J16" s="117"/>
      <c r="K16" s="118">
        <f>INT(LARGE($Y$4:$Y$11,2))</f>
        <v>1</v>
      </c>
      <c r="L16" s="119"/>
      <c r="M16" s="120">
        <f ca="1">COUNTIF(OFFSET($I$3:$X$3, MATCH(LARGE($Y$4:$Y$11,2 ),$Y$4:$Y$11,0),0,1,16),  "&gt;= 2" )</f>
        <v>1</v>
      </c>
      <c r="N16" s="119"/>
      <c r="O16" s="121">
        <f t="array" aca="1" ref="O16" ca="1">COUNT(IF(IF(MOD(COLUMN(OFFSET($I$3:$X$3, MATCH(LARGE($Y$4:$Y$11,2 ),$Y$4:$Y$11,0),0,1,16))+1,2)=0,OFFSET($I$3:$X$3, MATCH(LARGE($Y$4:$Y$11,2 ),$Y$4:$Y$11,0),0,1,16),0)=2,OFFSET($I$3:$X$3, MATCH(LARGE($Y$4:$Y$11,2 ),$Y$4:$Y$11,0),0,1,16),""))</f>
        <v>0</v>
      </c>
      <c r="P16" s="122"/>
      <c r="Q16" s="41"/>
      <c r="R16" s="41"/>
      <c r="S16" s="41"/>
      <c r="T16" s="41"/>
      <c r="U16" s="41"/>
      <c r="V16" s="41"/>
      <c r="W16" s="41"/>
      <c r="X16" s="41"/>
      <c r="Y16" s="41"/>
      <c r="Z16" s="57"/>
      <c r="AA16" s="103" t="s">
        <v>18</v>
      </c>
      <c r="AB16" s="104"/>
      <c r="AC16" s="56"/>
      <c r="AD16" s="55"/>
      <c r="AE16" s="103" t="s">
        <v>17</v>
      </c>
      <c r="AF16" s="104"/>
      <c r="AG16" s="56"/>
      <c r="AH16" s="55"/>
      <c r="AI16" s="103" t="s">
        <v>9</v>
      </c>
      <c r="AJ16" s="104"/>
      <c r="AK16" s="56"/>
      <c r="AL16" s="55"/>
      <c r="AM16" s="103" t="s">
        <v>16</v>
      </c>
      <c r="AN16" s="104"/>
      <c r="AO16" s="58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21"/>
      <c r="CL16" s="23"/>
      <c r="CM16" s="21"/>
      <c r="CN16" s="21"/>
      <c r="CO16" s="21"/>
      <c r="CP16" s="23"/>
      <c r="CQ16" s="21"/>
      <c r="CR16" s="21"/>
      <c r="CS16" s="21"/>
      <c r="CT16" s="23"/>
      <c r="CU16" s="21"/>
      <c r="CV16" s="21"/>
      <c r="CW16" s="21"/>
      <c r="CX16" s="23"/>
      <c r="CY16" s="21"/>
      <c r="CZ16" s="21"/>
      <c r="DA16" s="21"/>
      <c r="DB16" s="23"/>
      <c r="DC16" s="21"/>
      <c r="DD16" s="21"/>
      <c r="DE16" s="21"/>
      <c r="DF16" s="23"/>
      <c r="DG16" s="21"/>
      <c r="DH16" s="21"/>
      <c r="DI16" s="21"/>
      <c r="DJ16" s="23"/>
      <c r="DK16" s="21"/>
      <c r="DL16" s="21"/>
      <c r="DM16" s="21"/>
      <c r="DN16" s="23"/>
      <c r="DO16" s="21"/>
      <c r="DP16" s="21"/>
      <c r="DQ16" s="21"/>
      <c r="DR16" s="23"/>
      <c r="DS16" s="21"/>
      <c r="DT16" s="21"/>
      <c r="DU16" s="21"/>
      <c r="DV16" s="23"/>
      <c r="DW16" s="32"/>
      <c r="DX16" s="32"/>
      <c r="DY16" s="31"/>
      <c r="DZ16" s="30"/>
      <c r="EA16" s="32"/>
      <c r="EB16" s="32"/>
      <c r="EC16" s="31"/>
      <c r="ED16" s="30"/>
      <c r="EE16" s="32"/>
      <c r="EF16" s="32"/>
      <c r="EG16" s="31"/>
      <c r="EH16" s="30"/>
      <c r="EI16" s="32"/>
      <c r="EJ16" s="32"/>
      <c r="EK16" s="31"/>
      <c r="EL16" s="30"/>
      <c r="EM16" s="32"/>
      <c r="EN16" s="32"/>
      <c r="EO16" s="31"/>
      <c r="EP16" s="30"/>
      <c r="EQ16" s="32"/>
      <c r="ER16" s="32"/>
      <c r="ES16" s="31"/>
      <c r="ET16" s="30"/>
      <c r="EU16" s="32"/>
      <c r="EV16" s="32"/>
      <c r="EW16" s="31"/>
      <c r="EX16" s="30"/>
      <c r="EY16" s="32"/>
      <c r="EZ16" s="32"/>
      <c r="FA16" s="31"/>
      <c r="FB16" s="30"/>
      <c r="FC16" s="32"/>
      <c r="FD16" s="32"/>
      <c r="FE16" s="31"/>
      <c r="FF16" s="30"/>
      <c r="FG16" s="32"/>
      <c r="FH16" s="32"/>
      <c r="FI16" s="31"/>
      <c r="FJ16" s="30"/>
      <c r="FK16" s="32"/>
      <c r="FL16" s="32"/>
      <c r="FM16" s="31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  <c r="AAA16" s="3"/>
      <c r="AAB16" s="3"/>
      <c r="AAC16" s="3"/>
      <c r="AAD16" s="3"/>
      <c r="AAE16" s="3"/>
      <c r="AAF16" s="3"/>
      <c r="AAG16" s="3"/>
      <c r="AAH16" s="3"/>
      <c r="AAI16" s="3"/>
      <c r="AAJ16" s="3"/>
      <c r="AAK16" s="3"/>
      <c r="AAL16" s="3"/>
      <c r="AAM16" s="3"/>
    </row>
    <row r="17" spans="1:715" s="2" customFormat="1" ht="50" customHeight="1" thickBot="1">
      <c r="A17" s="7"/>
      <c r="B17" s="11"/>
      <c r="C17" s="7"/>
      <c r="D17" s="7"/>
      <c r="E17" s="7"/>
      <c r="F17" s="23"/>
      <c r="G17" s="114" t="s">
        <v>5</v>
      </c>
      <c r="H17" s="115"/>
      <c r="I17" s="116" t="str">
        <f>INDEX($B$3:$B$10, MATCH(LARGE($Y$4:$Y$11,3),$Y$4:$Y$11,0))</f>
        <v>Sindre</v>
      </c>
      <c r="J17" s="117"/>
      <c r="K17" s="118">
        <f>INT(LARGE($Y$4:$Y$11,3))</f>
        <v>0</v>
      </c>
      <c r="L17" s="119"/>
      <c r="M17" s="120">
        <f ca="1">COUNTIF(OFFSET($I$3:$X$3, MATCH(LARGE($Y$4:$Y$11,3 ),$Y$4:$Y$11,0),0,1,16),  "&gt;= 2" )</f>
        <v>0</v>
      </c>
      <c r="N17" s="119"/>
      <c r="O17" s="121">
        <f t="array" aca="1" ref="O17" ca="1">COUNT(IF(IF(MOD(COLUMN(OFFSET($I$3:$X$3, MATCH(LARGE($Y$4:$Y$11,3 ),$Y$4:$Y$11,0),0,1,16))+1,2)=0,OFFSET($I$3:$X$3, MATCH(LARGE($Y$4:$Y$11,3 ),$Y$4:$Y$11,0),0,1,16),0)=2,OFFSET($I$3:$X$3, MATCH(LARGE($Y$4:$Y$11,3 ),$Y$4:$Y$11,0),0,1,16),""))</f>
        <v>0</v>
      </c>
      <c r="P17" s="122"/>
      <c r="Q17" s="41"/>
      <c r="R17" s="41"/>
      <c r="S17" s="41"/>
      <c r="T17" s="41"/>
      <c r="U17" s="41"/>
      <c r="V17" s="41"/>
      <c r="W17" s="41"/>
      <c r="X17" s="41"/>
      <c r="Y17" s="41"/>
      <c r="Z17" s="61"/>
      <c r="AA17" s="105" t="s">
        <v>21</v>
      </c>
      <c r="AB17" s="106"/>
      <c r="AC17" s="62"/>
      <c r="AD17" s="63"/>
      <c r="AE17" s="105" t="s">
        <v>20</v>
      </c>
      <c r="AF17" s="106"/>
      <c r="AG17" s="62"/>
      <c r="AH17" s="63"/>
      <c r="AI17" s="105" t="s">
        <v>33</v>
      </c>
      <c r="AJ17" s="106"/>
      <c r="AK17" s="62"/>
      <c r="AL17" s="63"/>
      <c r="AM17" s="105" t="s">
        <v>19</v>
      </c>
      <c r="AN17" s="106"/>
      <c r="AO17" s="64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21"/>
      <c r="CL17" s="23"/>
      <c r="CM17" s="21"/>
      <c r="CN17" s="21"/>
      <c r="CO17" s="21"/>
      <c r="CP17" s="23"/>
      <c r="CQ17" s="21"/>
      <c r="CR17" s="21"/>
      <c r="CS17" s="21"/>
      <c r="CT17" s="23"/>
      <c r="CU17" s="21"/>
      <c r="CV17" s="21"/>
      <c r="CW17" s="21"/>
      <c r="CX17" s="23"/>
      <c r="CY17" s="21"/>
      <c r="CZ17" s="21"/>
      <c r="DA17" s="21"/>
      <c r="DB17" s="23"/>
      <c r="DC17" s="21"/>
      <c r="DD17" s="21"/>
      <c r="DE17" s="21"/>
      <c r="DF17" s="23"/>
      <c r="DG17" s="21"/>
      <c r="DH17" s="21"/>
      <c r="DI17" s="21"/>
      <c r="DJ17" s="23"/>
      <c r="DK17" s="21"/>
      <c r="DL17" s="21"/>
      <c r="DM17" s="21"/>
      <c r="DN17" s="23"/>
      <c r="DO17" s="21"/>
      <c r="DP17" s="21"/>
      <c r="DQ17" s="21"/>
      <c r="DR17" s="23"/>
      <c r="DS17" s="21"/>
      <c r="DT17" s="21"/>
      <c r="DU17" s="21"/>
      <c r="DV17" s="23"/>
      <c r="DW17" s="32"/>
      <c r="DX17" s="32"/>
      <c r="DY17" s="31"/>
      <c r="DZ17" s="30"/>
      <c r="EA17" s="32"/>
      <c r="EB17" s="32"/>
      <c r="EC17" s="31"/>
      <c r="ED17" s="30"/>
      <c r="EE17" s="32"/>
      <c r="EF17" s="32"/>
      <c r="EG17" s="31"/>
      <c r="EH17" s="30"/>
      <c r="EI17" s="32"/>
      <c r="EJ17" s="32"/>
      <c r="EK17" s="31"/>
      <c r="EL17" s="30"/>
      <c r="EM17" s="32"/>
      <c r="EN17" s="32"/>
      <c r="EO17" s="31"/>
      <c r="EP17" s="30"/>
      <c r="EQ17" s="32"/>
      <c r="ER17" s="32"/>
      <c r="ES17" s="31"/>
      <c r="ET17" s="30"/>
      <c r="EU17" s="32"/>
      <c r="EV17" s="32"/>
      <c r="EW17" s="31"/>
      <c r="EX17" s="30"/>
      <c r="EY17" s="32"/>
      <c r="EZ17" s="32"/>
      <c r="FA17" s="31"/>
      <c r="FB17" s="30"/>
      <c r="FC17" s="32"/>
      <c r="FD17" s="32"/>
      <c r="FE17" s="31"/>
      <c r="FF17" s="30"/>
      <c r="FG17" s="32"/>
      <c r="FH17" s="32"/>
      <c r="FI17" s="31"/>
      <c r="FJ17" s="30"/>
      <c r="FK17" s="32"/>
      <c r="FL17" s="32"/>
      <c r="FM17" s="31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  <c r="AAA17" s="3"/>
      <c r="AAB17" s="3"/>
      <c r="AAC17" s="3"/>
      <c r="AAD17" s="3"/>
      <c r="AAE17" s="3"/>
      <c r="AAF17" s="3"/>
      <c r="AAG17" s="3"/>
      <c r="AAH17" s="3"/>
      <c r="AAI17" s="3"/>
      <c r="AAJ17" s="3"/>
      <c r="AAK17" s="3"/>
      <c r="AAL17" s="3"/>
      <c r="AAM17" s="3"/>
    </row>
    <row r="18" spans="1:715" s="2" customFormat="1" ht="50" customHeight="1" thickBot="1">
      <c r="A18" s="8"/>
      <c r="B18" s="11"/>
      <c r="C18" s="8"/>
      <c r="D18" s="8"/>
      <c r="E18" s="8"/>
      <c r="F18" s="23"/>
      <c r="G18" s="114" t="s">
        <v>10</v>
      </c>
      <c r="H18" s="115"/>
      <c r="I18" s="116" t="str">
        <f>INDEX($B$3:$B$10, MATCH(LARGE($Y$4:$Y$11,4),$Y$4:$Y$11,0))</f>
        <v>Simen</v>
      </c>
      <c r="J18" s="117"/>
      <c r="K18" s="118">
        <f>INT(LARGE($Y$4:$Y$11,4))</f>
        <v>0</v>
      </c>
      <c r="L18" s="119"/>
      <c r="M18" s="120">
        <f ca="1">COUNTIF(OFFSET($I$3:$X$3, MATCH(LARGE($Y$4:$Y$11,4 ),$Y$4:$Y$11,0),0,1,16),  "&gt;= 2" )</f>
        <v>0</v>
      </c>
      <c r="N18" s="119"/>
      <c r="O18" s="121">
        <f t="array" aca="1" ref="O18" ca="1">COUNT(IF(IF(MOD(COLUMN(OFFSET($I$3:$X$3, MATCH(LARGE($Y$4:$Y$11,4 ),$Y$4:$Y$11,0),0,1,16))+1,2)=0,OFFSET($I$3:$X$3, MATCH(LARGE($Y$4:$Y$11,4 ),$Y$4:$Y$11,0),0,1,16),0)=2,OFFSET($I$3:$X$3, MATCH(LARGE($Y$4:$Y$11,4 ),$Y$4:$Y$11,0),0,1,16),""))</f>
        <v>0</v>
      </c>
      <c r="P18" s="122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  <c r="AAA18" s="3"/>
      <c r="AAB18" s="3"/>
      <c r="AAC18" s="3"/>
      <c r="AAD18" s="3"/>
      <c r="AAE18" s="3"/>
      <c r="AAF18" s="3"/>
      <c r="AAG18" s="3"/>
      <c r="AAH18" s="3"/>
      <c r="AAI18" s="3"/>
      <c r="AAJ18" s="3"/>
      <c r="AAK18" s="3"/>
      <c r="AAL18" s="3"/>
      <c r="AAM18" s="3"/>
    </row>
    <row r="19" spans="1:715" s="2" customFormat="1" ht="50" customHeight="1">
      <c r="A19" s="8"/>
      <c r="B19" s="11"/>
      <c r="C19" s="8"/>
      <c r="D19" s="8"/>
      <c r="E19" s="8"/>
      <c r="F19" s="23"/>
      <c r="G19" s="114" t="s">
        <v>15</v>
      </c>
      <c r="H19" s="115"/>
      <c r="I19" s="116" t="str">
        <f>INDEX($B$3:$B$10, MATCH(LARGE($Y$4:$Y$11,5),$Y$4:$Y$11,0))</f>
        <v>Rikke</v>
      </c>
      <c r="J19" s="117"/>
      <c r="K19" s="118">
        <f>INT(LARGE($Y$4:$Y$11,5))</f>
        <v>0</v>
      </c>
      <c r="L19" s="119"/>
      <c r="M19" s="120">
        <f ca="1">COUNTIF(OFFSET($I$3:$X$3, MATCH(LARGE($Y$4:$Y$11,5 ),$Y$4:$Y$11,0),0,1,16),  "&gt;= 2" )</f>
        <v>0</v>
      </c>
      <c r="N19" s="119"/>
      <c r="O19" s="121">
        <f t="array" aca="1" ref="O19" ca="1">COUNT(IF(IF(MOD(COLUMN(OFFSET($I$3:$X$3, MATCH(LARGE($Y$4:$Y$11,5 ),$Y$4:$Y$11,0),0,1,16))+1,2)=0,OFFSET($I$3:$X$3, MATCH(LARGE($Y$4:$Y$11,5 ),$Y$4:$Y$11,0),0,1,16),0)=2,OFFSET($I$3:$X$3, MATCH(LARGE($Y$4:$Y$11,5 ),$Y$4:$Y$11,0),0,1,16),""))</f>
        <v>0</v>
      </c>
      <c r="P19" s="122"/>
      <c r="Q19" s="41"/>
      <c r="R19" s="41"/>
      <c r="S19" s="41"/>
      <c r="T19" s="41"/>
      <c r="U19" s="41"/>
      <c r="V19" s="41"/>
      <c r="W19" s="41"/>
      <c r="X19" s="41"/>
      <c r="Y19" s="41"/>
      <c r="Z19" s="107" t="s">
        <v>30</v>
      </c>
      <c r="AA19" s="108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7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  <c r="EQ19" s="30"/>
      <c r="ER19" s="30"/>
      <c r="ES19" s="30"/>
      <c r="ET19" s="30"/>
      <c r="EU19" s="30"/>
      <c r="EV19" s="30"/>
      <c r="EW19" s="30"/>
      <c r="EX19" s="30"/>
      <c r="EY19" s="30"/>
      <c r="EZ19" s="30"/>
      <c r="FA19" s="30"/>
      <c r="FB19" s="30"/>
      <c r="FC19" s="30"/>
      <c r="FD19" s="30"/>
      <c r="FE19" s="30"/>
      <c r="FF19" s="30"/>
      <c r="FG19" s="30"/>
      <c r="FH19" s="30"/>
      <c r="FI19" s="30"/>
      <c r="FJ19" s="30"/>
      <c r="FK19" s="30"/>
      <c r="FL19" s="30"/>
      <c r="FM19" s="30"/>
      <c r="FN19" s="30"/>
      <c r="FO19" s="30"/>
      <c r="FP19" s="30"/>
      <c r="FQ19" s="30"/>
      <c r="FR19" s="30"/>
      <c r="FS19" s="30"/>
      <c r="FT19" s="30"/>
      <c r="FU19" s="30"/>
      <c r="FV19" s="30"/>
      <c r="FW19" s="30"/>
      <c r="FX19" s="30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</row>
    <row r="20" spans="1:715" s="2" customFormat="1" ht="50" customHeight="1">
      <c r="A20" s="8"/>
      <c r="B20" s="11"/>
      <c r="C20" s="8"/>
      <c r="D20" s="8"/>
      <c r="E20" s="8"/>
      <c r="F20" s="23"/>
      <c r="G20" s="114" t="s">
        <v>22</v>
      </c>
      <c r="H20" s="115"/>
      <c r="I20" s="116" t="str">
        <f>INDEX($B$3:$B$10, MATCH(LARGE($Y$4:$Y$11,6),$Y$4:$Y$11,0))</f>
        <v>Addi</v>
      </c>
      <c r="J20" s="117"/>
      <c r="K20" s="118">
        <f>INT(LARGE($Y$4:$Y$11,6))</f>
        <v>0</v>
      </c>
      <c r="L20" s="119"/>
      <c r="M20" s="120">
        <f ca="1">COUNTIF(OFFSET($I$3:$X$3, MATCH(LARGE($Y$4:$Y$11,6 ),$Y$4:$Y$11,0),0,1,16),  "&gt;= 2" )</f>
        <v>0</v>
      </c>
      <c r="N20" s="119"/>
      <c r="O20" s="121">
        <f t="array" aca="1" ref="O20" ca="1">COUNT(IF(IF(MOD(COLUMN(OFFSET($I$3:$X$3, MATCH(LARGE($Y$4:$Y$11,6 ),$Y$4:$Y$11,0),0,1,16))+1,2)=0,OFFSET($I$3:$X$3, MATCH(LARGE($Y$4:$Y$11,6 ),$Y$4:$Y$11,0),0,1,16),0)=2,OFFSET($I$3:$X$3, MATCH(LARGE($Y$4:$Y$11,6 ),$Y$4:$Y$11,0),0,1,16),""))</f>
        <v>0</v>
      </c>
      <c r="P20" s="122"/>
      <c r="Q20" s="41"/>
      <c r="R20" s="41"/>
      <c r="S20" s="41"/>
      <c r="T20" s="41"/>
      <c r="U20" s="41"/>
      <c r="V20" s="41"/>
      <c r="W20" s="41"/>
      <c r="X20" s="41"/>
      <c r="Y20" s="41"/>
      <c r="Z20" s="57"/>
      <c r="AA20" s="103" t="s">
        <v>18</v>
      </c>
      <c r="AB20" s="104"/>
      <c r="AC20" s="56"/>
      <c r="AD20" s="55"/>
      <c r="AE20" s="103" t="s">
        <v>21</v>
      </c>
      <c r="AF20" s="104"/>
      <c r="AG20" s="56"/>
      <c r="AH20" s="55"/>
      <c r="AI20" s="103" t="s">
        <v>17</v>
      </c>
      <c r="AJ20" s="104"/>
      <c r="AK20" s="56"/>
      <c r="AL20" s="55"/>
      <c r="AM20" s="103" t="s">
        <v>9</v>
      </c>
      <c r="AN20" s="104"/>
      <c r="AO20" s="58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21"/>
      <c r="CL20" s="23"/>
      <c r="CM20" s="21"/>
      <c r="CN20" s="21"/>
      <c r="CO20" s="21"/>
      <c r="CP20" s="23"/>
      <c r="CQ20" s="21"/>
      <c r="CR20" s="21"/>
      <c r="CS20" s="21"/>
      <c r="CT20" s="23"/>
      <c r="CU20" s="21"/>
      <c r="CV20" s="21"/>
      <c r="CW20" s="21"/>
      <c r="CX20" s="23"/>
      <c r="CY20" s="21"/>
      <c r="CZ20" s="21"/>
      <c r="DA20" s="21"/>
      <c r="DB20" s="23"/>
      <c r="DC20" s="21"/>
      <c r="DD20" s="21"/>
      <c r="DE20" s="21"/>
      <c r="DF20" s="23"/>
      <c r="DG20" s="21"/>
      <c r="DH20" s="21"/>
      <c r="DI20" s="21"/>
      <c r="DJ20" s="23"/>
      <c r="DK20" s="21"/>
      <c r="DL20" s="21"/>
      <c r="DM20" s="21"/>
      <c r="DN20" s="23"/>
      <c r="DO20" s="21"/>
      <c r="DP20" s="21"/>
      <c r="DQ20" s="21"/>
      <c r="DR20" s="23"/>
      <c r="DS20" s="21"/>
      <c r="DT20" s="21"/>
      <c r="DU20" s="21"/>
      <c r="DV20" s="23"/>
      <c r="DW20" s="32"/>
      <c r="DX20" s="32"/>
      <c r="DY20" s="31"/>
      <c r="DZ20" s="30"/>
      <c r="EA20" s="32"/>
      <c r="EB20" s="32"/>
      <c r="EC20" s="31"/>
      <c r="ED20" s="30"/>
      <c r="EE20" s="32"/>
      <c r="EF20" s="32"/>
      <c r="EG20" s="31"/>
      <c r="EH20" s="30"/>
      <c r="EI20" s="32"/>
      <c r="EJ20" s="32"/>
      <c r="EK20" s="31"/>
      <c r="EL20" s="30"/>
      <c r="EM20" s="32"/>
      <c r="EN20" s="32"/>
      <c r="EO20" s="31"/>
      <c r="EP20" s="30"/>
      <c r="EQ20" s="32"/>
      <c r="ER20" s="32"/>
      <c r="ES20" s="31"/>
      <c r="ET20" s="30"/>
      <c r="EU20" s="32"/>
      <c r="EV20" s="32"/>
      <c r="EW20" s="31"/>
      <c r="EX20" s="30"/>
      <c r="EY20" s="32"/>
      <c r="EZ20" s="32"/>
      <c r="FA20" s="31"/>
      <c r="FB20" s="30"/>
      <c r="FC20" s="32"/>
      <c r="FD20" s="32"/>
      <c r="FE20" s="31"/>
      <c r="FF20" s="30"/>
      <c r="FG20" s="32"/>
      <c r="FH20" s="32"/>
      <c r="FI20" s="31"/>
      <c r="FJ20" s="30"/>
      <c r="FK20" s="32"/>
      <c r="FL20" s="32"/>
      <c r="FM20" s="31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</row>
    <row r="21" spans="1:715" s="2" customFormat="1" ht="50" customHeight="1" thickBot="1">
      <c r="A21" s="8"/>
      <c r="B21" s="11"/>
      <c r="C21" s="8"/>
      <c r="D21" s="8"/>
      <c r="E21" s="8"/>
      <c r="F21" s="23"/>
      <c r="G21" s="114" t="s">
        <v>23</v>
      </c>
      <c r="H21" s="115"/>
      <c r="I21" s="116" t="str">
        <f>INDEX($B$3:$B$10, MATCH(LARGE($Y$4:$Y$11,7),$Y$4:$Y$11,0))</f>
        <v>Victor</v>
      </c>
      <c r="J21" s="117"/>
      <c r="K21" s="118">
        <f>INT(LARGE($Y$4:$Y$11,7))</f>
        <v>0</v>
      </c>
      <c r="L21" s="119"/>
      <c r="M21" s="120">
        <f ca="1">COUNTIF(OFFSET($I$3:$X$3, MATCH(LARGE($Y$4:$Y$11,7 ),$Y$4:$Y$11,0),0,1,16),  "&gt;= 2" )</f>
        <v>0</v>
      </c>
      <c r="N21" s="119"/>
      <c r="O21" s="121">
        <f t="array" aca="1" ref="O21" ca="1">COUNT(IF(IF(MOD(COLUMN(OFFSET($I$3:$X$3, MATCH(LARGE($Y$4:$Y$11,7 ),$Y$4:$Y$11,0),0,1,16))+1,2)=0,OFFSET($I$3:$X$3, MATCH(LARGE($Y$4:$Y$11,7 ),$Y$4:$Y$11,0),0,1,16),0)=2,OFFSET($I$3:$X$3, MATCH(LARGE($Y$4:$Y$11,7 ),$Y$4:$Y$11,0),0,1,16),""))</f>
        <v>0</v>
      </c>
      <c r="P21" s="122"/>
      <c r="Q21" s="41"/>
      <c r="R21" s="41"/>
      <c r="S21" s="41"/>
      <c r="T21" s="41"/>
      <c r="U21" s="41"/>
      <c r="V21" s="41"/>
      <c r="W21" s="41"/>
      <c r="X21" s="41"/>
      <c r="Y21" s="41"/>
      <c r="Z21" s="61"/>
      <c r="AA21" s="105" t="s">
        <v>20</v>
      </c>
      <c r="AB21" s="106"/>
      <c r="AC21" s="62"/>
      <c r="AD21" s="63"/>
      <c r="AE21" s="105" t="s">
        <v>33</v>
      </c>
      <c r="AF21" s="106"/>
      <c r="AG21" s="62"/>
      <c r="AH21" s="63"/>
      <c r="AI21" s="105" t="s">
        <v>19</v>
      </c>
      <c r="AJ21" s="106"/>
      <c r="AK21" s="62"/>
      <c r="AL21" s="63"/>
      <c r="AM21" s="105" t="s">
        <v>16</v>
      </c>
      <c r="AN21" s="106"/>
      <c r="AO21" s="64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21"/>
      <c r="CL21" s="23"/>
      <c r="CM21" s="21"/>
      <c r="CN21" s="21"/>
      <c r="CO21" s="21"/>
      <c r="CP21" s="23"/>
      <c r="CQ21" s="21"/>
      <c r="CR21" s="21"/>
      <c r="CS21" s="21"/>
      <c r="CT21" s="23"/>
      <c r="CU21" s="21"/>
      <c r="CV21" s="21"/>
      <c r="CW21" s="21"/>
      <c r="CX21" s="23"/>
      <c r="CY21" s="21"/>
      <c r="CZ21" s="21"/>
      <c r="DA21" s="21"/>
      <c r="DB21" s="23"/>
      <c r="DC21" s="21"/>
      <c r="DD21" s="21"/>
      <c r="DE21" s="21"/>
      <c r="DF21" s="23"/>
      <c r="DG21" s="21"/>
      <c r="DH21" s="21"/>
      <c r="DI21" s="21"/>
      <c r="DJ21" s="23"/>
      <c r="DK21" s="21"/>
      <c r="DL21" s="21"/>
      <c r="DM21" s="21"/>
      <c r="DN21" s="23"/>
      <c r="DO21" s="21"/>
      <c r="DP21" s="21"/>
      <c r="DQ21" s="21"/>
      <c r="DR21" s="23"/>
      <c r="DS21" s="21"/>
      <c r="DT21" s="21"/>
      <c r="DU21" s="21"/>
      <c r="DV21" s="23"/>
      <c r="DW21" s="32"/>
      <c r="DX21" s="32"/>
      <c r="DY21" s="31"/>
      <c r="DZ21" s="30"/>
      <c r="EA21" s="32"/>
      <c r="EB21" s="32"/>
      <c r="EC21" s="31"/>
      <c r="ED21" s="30"/>
      <c r="EE21" s="32"/>
      <c r="EF21" s="32"/>
      <c r="EG21" s="31"/>
      <c r="EH21" s="30"/>
      <c r="EI21" s="32"/>
      <c r="EJ21" s="32"/>
      <c r="EK21" s="31"/>
      <c r="EL21" s="30"/>
      <c r="EM21" s="32"/>
      <c r="EN21" s="32"/>
      <c r="EO21" s="31"/>
      <c r="EP21" s="30"/>
      <c r="EQ21" s="32"/>
      <c r="ER21" s="32"/>
      <c r="ES21" s="31"/>
      <c r="ET21" s="30"/>
      <c r="EU21" s="32"/>
      <c r="EV21" s="32"/>
      <c r="EW21" s="31"/>
      <c r="EX21" s="30"/>
      <c r="EY21" s="32"/>
      <c r="EZ21" s="32"/>
      <c r="FA21" s="31"/>
      <c r="FB21" s="30"/>
      <c r="FC21" s="32"/>
      <c r="FD21" s="32"/>
      <c r="FE21" s="31"/>
      <c r="FF21" s="30"/>
      <c r="FG21" s="32"/>
      <c r="FH21" s="32"/>
      <c r="FI21" s="31"/>
      <c r="FJ21" s="30"/>
      <c r="FK21" s="32"/>
      <c r="FL21" s="32"/>
      <c r="FM21" s="31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</row>
    <row r="22" spans="1:715" s="2" customFormat="1" ht="50" customHeight="1" thickBot="1">
      <c r="A22" s="8"/>
      <c r="B22" s="11"/>
      <c r="C22" s="8"/>
      <c r="D22" s="8"/>
      <c r="E22" s="8"/>
      <c r="F22" s="23"/>
      <c r="G22" s="136" t="s">
        <v>24</v>
      </c>
      <c r="H22" s="137"/>
      <c r="I22" s="138" t="str">
        <f>INDEX($B$3:$B$10, MATCH(LARGE($Y$4:$Y$11,8),$Y$4:$Y$11,0))</f>
        <v>Haakon</v>
      </c>
      <c r="J22" s="139"/>
      <c r="K22" s="140">
        <f>INT(LARGE($Y$4:$Y$11,8))</f>
        <v>0</v>
      </c>
      <c r="L22" s="141"/>
      <c r="M22" s="142">
        <f ca="1">COUNTIF(OFFSET($I$3:$X$3, MATCH(LARGE($Y$4:$Y$11,8 ),$Y$4:$Y$11,0),0,1,16),  "&gt;= 2" )</f>
        <v>0</v>
      </c>
      <c r="N22" s="141"/>
      <c r="O22" s="143">
        <f t="array" aca="1" ref="O22" ca="1">COUNT(IF(IF(MOD(COLUMN(OFFSET($I$3:$X$3, MATCH(LARGE($Y$4:$Y$11,8 ),$Y$4:$Y$11,0),0,1,16))+1,2)=0,OFFSET($I$3:$X$3, MATCH(LARGE($Y$4:$Y$11,8 ),$Y$4:$Y$11,0),0,1,16),0)=2,OFFSET($I$3:$X$3, MATCH(LARGE($Y$4:$Y$11,8 ),$Y$4:$Y$11,0),0,1,16),""))</f>
        <v>0</v>
      </c>
      <c r="P22" s="144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30"/>
      <c r="DX22" s="30"/>
      <c r="DY22" s="30"/>
      <c r="DZ22" s="30"/>
      <c r="EA22" s="30"/>
      <c r="EB22" s="30"/>
      <c r="EC22" s="30"/>
      <c r="ED22" s="30"/>
      <c r="EE22" s="30"/>
      <c r="EF22" s="30"/>
      <c r="EG22" s="30"/>
      <c r="EH22" s="30"/>
      <c r="EI22" s="30"/>
      <c r="EJ22" s="30"/>
      <c r="EK22" s="30"/>
      <c r="EL22" s="30"/>
      <c r="EM22" s="30"/>
      <c r="EN22" s="30"/>
      <c r="EO22" s="30"/>
      <c r="EP22" s="30"/>
      <c r="EQ22" s="30"/>
      <c r="ER22" s="30"/>
      <c r="ES22" s="30"/>
      <c r="ET22" s="30"/>
      <c r="EU22" s="30"/>
      <c r="EV22" s="30"/>
      <c r="EW22" s="30"/>
      <c r="EX22" s="30"/>
      <c r="EY22" s="30"/>
      <c r="EZ22" s="30"/>
      <c r="FA22" s="30"/>
      <c r="FB22" s="30"/>
      <c r="FC22" s="30"/>
      <c r="FD22" s="30"/>
      <c r="FE22" s="30"/>
      <c r="FF22" s="30"/>
      <c r="FG22" s="30"/>
      <c r="FH22" s="30"/>
      <c r="FI22" s="30"/>
      <c r="FJ22" s="30"/>
      <c r="FK22" s="30"/>
      <c r="FL22" s="30"/>
      <c r="FM22" s="30"/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</row>
    <row r="23" spans="1:715" s="2" customFormat="1" ht="50" customHeight="1">
      <c r="A23" s="8"/>
      <c r="B23" s="11"/>
      <c r="C23" s="8"/>
      <c r="D23" s="8"/>
      <c r="E23" s="8"/>
      <c r="F23" s="23"/>
      <c r="G23" s="20"/>
      <c r="H23" s="20"/>
      <c r="I23" s="26"/>
      <c r="J23" s="26"/>
      <c r="K23" s="26"/>
      <c r="L23" s="26"/>
      <c r="M23" s="26"/>
      <c r="N23" s="26"/>
      <c r="O23" s="26"/>
      <c r="P23" s="26"/>
      <c r="Q23" s="41"/>
      <c r="R23" s="41"/>
      <c r="S23" s="41"/>
      <c r="T23" s="41"/>
      <c r="U23" s="41"/>
      <c r="V23" s="41"/>
      <c r="W23" s="41"/>
      <c r="X23" s="41"/>
      <c r="Y23" s="41"/>
      <c r="Z23" s="107" t="s">
        <v>31</v>
      </c>
      <c r="AA23" s="108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7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30"/>
      <c r="DX23" s="3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  <c r="EM23" s="30"/>
      <c r="EN23" s="30"/>
      <c r="EO23" s="30"/>
      <c r="EP23" s="30"/>
      <c r="EQ23" s="30"/>
      <c r="ER23" s="30"/>
      <c r="ES23" s="30"/>
      <c r="ET23" s="30"/>
      <c r="EU23" s="30"/>
      <c r="EV23" s="30"/>
      <c r="EW23" s="30"/>
      <c r="EX23" s="30"/>
      <c r="EY23" s="30"/>
      <c r="EZ23" s="30"/>
      <c r="FA23" s="30"/>
      <c r="FB23" s="30"/>
      <c r="FC23" s="30"/>
      <c r="FD23" s="30"/>
      <c r="FE23" s="30"/>
      <c r="FF23" s="30"/>
      <c r="FG23" s="30"/>
      <c r="FH23" s="30"/>
      <c r="FI23" s="30"/>
      <c r="FJ23" s="30"/>
      <c r="FK23" s="30"/>
      <c r="FL23" s="30"/>
      <c r="FM23" s="30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</row>
    <row r="24" spans="1:715" s="2" customFormat="1" ht="50" customHeight="1">
      <c r="A24" s="8"/>
      <c r="B24" s="11"/>
      <c r="C24" s="8"/>
      <c r="D24" s="8"/>
      <c r="E24" s="8"/>
      <c r="F24" s="23"/>
      <c r="G24" s="20"/>
      <c r="H24" s="20"/>
      <c r="I24" s="28"/>
      <c r="J24" s="28"/>
      <c r="K24" s="26"/>
      <c r="L24" s="26"/>
      <c r="M24" s="26"/>
      <c r="N24" s="26"/>
      <c r="O24" s="26"/>
      <c r="P24" s="26"/>
      <c r="Q24" s="41"/>
      <c r="R24" s="41"/>
      <c r="S24" s="41"/>
      <c r="T24" s="41"/>
      <c r="U24" s="41"/>
      <c r="V24" s="41"/>
      <c r="W24" s="41"/>
      <c r="X24" s="41"/>
      <c r="Y24" s="41"/>
      <c r="Z24" s="57"/>
      <c r="AA24" s="103" t="s">
        <v>18</v>
      </c>
      <c r="AB24" s="104"/>
      <c r="AC24" s="56"/>
      <c r="AD24" s="55"/>
      <c r="AE24" s="103" t="s">
        <v>20</v>
      </c>
      <c r="AF24" s="104"/>
      <c r="AG24" s="56"/>
      <c r="AH24" s="55"/>
      <c r="AI24" s="103" t="s">
        <v>21</v>
      </c>
      <c r="AJ24" s="104"/>
      <c r="AK24" s="56"/>
      <c r="AL24" s="55"/>
      <c r="AM24" s="103" t="s">
        <v>17</v>
      </c>
      <c r="AN24" s="104"/>
      <c r="AO24" s="58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21"/>
      <c r="CL24" s="23"/>
      <c r="CM24" s="21"/>
      <c r="CN24" s="21"/>
      <c r="CO24" s="21"/>
      <c r="CP24" s="23"/>
      <c r="CQ24" s="21"/>
      <c r="CR24" s="21"/>
      <c r="CS24" s="21"/>
      <c r="CT24" s="23"/>
      <c r="CU24" s="21"/>
      <c r="CV24" s="21"/>
      <c r="CW24" s="21"/>
      <c r="CX24" s="23"/>
      <c r="CY24" s="21"/>
      <c r="CZ24" s="21"/>
      <c r="DA24" s="21"/>
      <c r="DB24" s="23"/>
      <c r="DC24" s="21"/>
      <c r="DD24" s="21"/>
      <c r="DE24" s="21"/>
      <c r="DF24" s="23"/>
      <c r="DG24" s="21"/>
      <c r="DH24" s="21"/>
      <c r="DI24" s="21"/>
      <c r="DJ24" s="23"/>
      <c r="DK24" s="21"/>
      <c r="DL24" s="21"/>
      <c r="DM24" s="21"/>
      <c r="DN24" s="23"/>
      <c r="DO24" s="21"/>
      <c r="DP24" s="21"/>
      <c r="DQ24" s="21"/>
      <c r="DR24" s="23"/>
      <c r="DS24" s="21"/>
      <c r="DT24" s="21"/>
      <c r="DU24" s="21"/>
      <c r="DV24" s="23"/>
      <c r="DW24" s="32"/>
      <c r="DX24" s="32"/>
      <c r="DY24" s="31"/>
      <c r="DZ24" s="30"/>
      <c r="EA24" s="32"/>
      <c r="EB24" s="32"/>
      <c r="EC24" s="31"/>
      <c r="ED24" s="30"/>
      <c r="EE24" s="32"/>
      <c r="EF24" s="32"/>
      <c r="EG24" s="31"/>
      <c r="EH24" s="30"/>
      <c r="EI24" s="32"/>
      <c r="EJ24" s="32"/>
      <c r="EK24" s="31"/>
      <c r="EL24" s="30"/>
      <c r="EM24" s="32"/>
      <c r="EN24" s="32"/>
      <c r="EO24" s="31"/>
      <c r="EP24" s="30"/>
      <c r="EQ24" s="32"/>
      <c r="ER24" s="32"/>
      <c r="ES24" s="31"/>
      <c r="ET24" s="30"/>
      <c r="EU24" s="32"/>
      <c r="EV24" s="32"/>
      <c r="EW24" s="31"/>
      <c r="EX24" s="30"/>
      <c r="EY24" s="32"/>
      <c r="EZ24" s="32"/>
      <c r="FA24" s="31"/>
      <c r="FB24" s="30"/>
      <c r="FC24" s="32"/>
      <c r="FD24" s="32"/>
      <c r="FE24" s="31"/>
      <c r="FF24" s="30"/>
      <c r="FG24" s="32"/>
      <c r="FH24" s="32"/>
      <c r="FI24" s="31"/>
      <c r="FJ24" s="30"/>
      <c r="FK24" s="32"/>
      <c r="FL24" s="32"/>
      <c r="FM24" s="31"/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</row>
    <row r="25" spans="1:715" s="2" customFormat="1" ht="50" customHeight="1" thickBot="1">
      <c r="A25" s="8"/>
      <c r="B25" s="11"/>
      <c r="C25" s="8"/>
      <c r="D25" s="8"/>
      <c r="E25" s="8"/>
      <c r="F25" s="23"/>
      <c r="G25" s="20"/>
      <c r="H25" s="20"/>
      <c r="I25" s="28"/>
      <c r="J25" s="28"/>
      <c r="K25" s="26"/>
      <c r="L25" s="26"/>
      <c r="M25" s="26"/>
      <c r="N25" s="26"/>
      <c r="O25" s="26"/>
      <c r="P25" s="26"/>
      <c r="Q25" s="41"/>
      <c r="R25" s="41"/>
      <c r="S25" s="41"/>
      <c r="T25" s="41"/>
      <c r="U25" s="41"/>
      <c r="V25" s="41"/>
      <c r="W25" s="41"/>
      <c r="X25" s="41"/>
      <c r="Y25" s="41"/>
      <c r="Z25" s="61"/>
      <c r="AA25" s="105" t="s">
        <v>33</v>
      </c>
      <c r="AB25" s="106"/>
      <c r="AC25" s="62"/>
      <c r="AD25" s="63"/>
      <c r="AE25" s="105" t="s">
        <v>19</v>
      </c>
      <c r="AF25" s="106"/>
      <c r="AG25" s="62"/>
      <c r="AH25" s="63"/>
      <c r="AI25" s="105" t="s">
        <v>16</v>
      </c>
      <c r="AJ25" s="106"/>
      <c r="AK25" s="62"/>
      <c r="AL25" s="63"/>
      <c r="AM25" s="105" t="s">
        <v>9</v>
      </c>
      <c r="AN25" s="106"/>
      <c r="AO25" s="64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21"/>
      <c r="CL25" s="23"/>
      <c r="CM25" s="21"/>
      <c r="CN25" s="21"/>
      <c r="CO25" s="21"/>
      <c r="CP25" s="23"/>
      <c r="CQ25" s="21"/>
      <c r="CR25" s="21"/>
      <c r="CS25" s="21"/>
      <c r="CT25" s="23"/>
      <c r="CU25" s="21"/>
      <c r="CV25" s="21"/>
      <c r="CW25" s="21"/>
      <c r="CX25" s="23"/>
      <c r="CY25" s="21"/>
      <c r="CZ25" s="21"/>
      <c r="DA25" s="21"/>
      <c r="DB25" s="23"/>
      <c r="DC25" s="21"/>
      <c r="DD25" s="21"/>
      <c r="DE25" s="21"/>
      <c r="DF25" s="23"/>
      <c r="DG25" s="21"/>
      <c r="DH25" s="21"/>
      <c r="DI25" s="21"/>
      <c r="DJ25" s="23"/>
      <c r="DK25" s="21"/>
      <c r="DL25" s="21"/>
      <c r="DM25" s="21"/>
      <c r="DN25" s="23"/>
      <c r="DO25" s="21"/>
      <c r="DP25" s="21"/>
      <c r="DQ25" s="21"/>
      <c r="DR25" s="23"/>
      <c r="DS25" s="21"/>
      <c r="DT25" s="21"/>
      <c r="DU25" s="21"/>
      <c r="DV25" s="23"/>
      <c r="DW25" s="32"/>
      <c r="DX25" s="32"/>
      <c r="DY25" s="31"/>
      <c r="DZ25" s="30"/>
      <c r="EA25" s="32"/>
      <c r="EB25" s="32"/>
      <c r="EC25" s="31"/>
      <c r="ED25" s="30"/>
      <c r="EE25" s="32"/>
      <c r="EF25" s="32"/>
      <c r="EG25" s="31"/>
      <c r="EH25" s="30"/>
      <c r="EI25" s="32"/>
      <c r="EJ25" s="32"/>
      <c r="EK25" s="31"/>
      <c r="EL25" s="30"/>
      <c r="EM25" s="32"/>
      <c r="EN25" s="32"/>
      <c r="EO25" s="31"/>
      <c r="EP25" s="30"/>
      <c r="EQ25" s="32"/>
      <c r="ER25" s="32"/>
      <c r="ES25" s="31"/>
      <c r="ET25" s="30"/>
      <c r="EU25" s="32"/>
      <c r="EV25" s="32"/>
      <c r="EW25" s="31"/>
      <c r="EX25" s="30"/>
      <c r="EY25" s="32"/>
      <c r="EZ25" s="32"/>
      <c r="FA25" s="31"/>
      <c r="FB25" s="30"/>
      <c r="FC25" s="32"/>
      <c r="FD25" s="32"/>
      <c r="FE25" s="31"/>
      <c r="FF25" s="30"/>
      <c r="FG25" s="32"/>
      <c r="FH25" s="32"/>
      <c r="FI25" s="31"/>
      <c r="FJ25" s="30"/>
      <c r="FK25" s="32"/>
      <c r="FL25" s="32"/>
      <c r="FM25" s="31"/>
      <c r="FN25" s="30"/>
      <c r="FO25" s="30"/>
      <c r="FP25" s="30"/>
      <c r="FQ25" s="30"/>
      <c r="FR25" s="30"/>
      <c r="FS25" s="30"/>
      <c r="FT25" s="30"/>
      <c r="FU25" s="30"/>
      <c r="FV25" s="30"/>
      <c r="FW25" s="30"/>
      <c r="FX25" s="30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</row>
    <row r="26" spans="1:715" s="2" customFormat="1" ht="50" customHeight="1" thickBot="1">
      <c r="A26" s="8"/>
      <c r="B26" s="11"/>
      <c r="C26" s="8"/>
      <c r="D26" s="8"/>
      <c r="E26" s="8"/>
      <c r="F26" s="23"/>
      <c r="G26" s="20"/>
      <c r="H26" s="20"/>
      <c r="I26" s="28"/>
      <c r="J26" s="28"/>
      <c r="K26" s="26"/>
      <c r="L26" s="26"/>
      <c r="M26" s="26"/>
      <c r="N26" s="26"/>
      <c r="O26" s="26"/>
      <c r="P26" s="26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30"/>
      <c r="DX26" s="30"/>
      <c r="DY26" s="30"/>
      <c r="DZ26" s="30"/>
      <c r="EA26" s="30"/>
      <c r="EB26" s="30"/>
      <c r="EC26" s="30"/>
      <c r="ED26" s="30"/>
      <c r="EE26" s="30"/>
      <c r="EF26" s="30"/>
      <c r="EG26" s="30"/>
      <c r="EH26" s="30"/>
      <c r="EI26" s="30"/>
      <c r="EJ26" s="30"/>
      <c r="EK26" s="30"/>
      <c r="EL26" s="30"/>
      <c r="EM26" s="30"/>
      <c r="EN26" s="30"/>
      <c r="EO26" s="30"/>
      <c r="EP26" s="30"/>
      <c r="EQ26" s="30"/>
      <c r="ER26" s="30"/>
      <c r="ES26" s="30"/>
      <c r="ET26" s="30"/>
      <c r="EU26" s="30"/>
      <c r="EV26" s="30"/>
      <c r="EW26" s="30"/>
      <c r="EX26" s="30"/>
      <c r="EY26" s="30"/>
      <c r="EZ26" s="30"/>
      <c r="FA26" s="30"/>
      <c r="FB26" s="30"/>
      <c r="FC26" s="30"/>
      <c r="FD26" s="30"/>
      <c r="FE26" s="30"/>
      <c r="FF26" s="30"/>
      <c r="FG26" s="30"/>
      <c r="FH26" s="30"/>
      <c r="FI26" s="30"/>
      <c r="FJ26" s="30"/>
      <c r="FK26" s="30"/>
      <c r="FL26" s="30"/>
      <c r="FM26" s="30"/>
      <c r="FN26" s="30"/>
      <c r="FO26" s="30"/>
      <c r="FP26" s="30"/>
      <c r="FQ26" s="30"/>
      <c r="FR26" s="30"/>
      <c r="FS26" s="30"/>
      <c r="FT26" s="30"/>
      <c r="FU26" s="30"/>
      <c r="FV26" s="30"/>
      <c r="FW26" s="30"/>
      <c r="FX26" s="30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</row>
    <row r="27" spans="1:715" s="2" customFormat="1" ht="50" customHeight="1">
      <c r="A27" s="8"/>
      <c r="B27" s="11"/>
      <c r="C27" s="8"/>
      <c r="D27" s="8"/>
      <c r="E27" s="8"/>
      <c r="F27" s="23"/>
      <c r="G27" s="20"/>
      <c r="H27" s="20"/>
      <c r="I27" s="28"/>
      <c r="J27" s="28"/>
      <c r="K27" s="26"/>
      <c r="L27" s="26"/>
      <c r="M27" s="26"/>
      <c r="N27" s="26"/>
      <c r="O27" s="26"/>
      <c r="P27" s="26"/>
      <c r="Q27" s="41"/>
      <c r="R27" s="41"/>
      <c r="S27" s="41"/>
      <c r="T27" s="41"/>
      <c r="U27" s="41"/>
      <c r="V27" s="41"/>
      <c r="W27" s="41"/>
      <c r="X27" s="41"/>
      <c r="Y27" s="41"/>
      <c r="Z27" s="107" t="s">
        <v>32</v>
      </c>
      <c r="AA27" s="108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30"/>
      <c r="DX27" s="3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30"/>
      <c r="ER27" s="30"/>
      <c r="ES27" s="30"/>
      <c r="ET27" s="30"/>
      <c r="EU27" s="30"/>
      <c r="EV27" s="30"/>
      <c r="EW27" s="30"/>
      <c r="EX27" s="30"/>
      <c r="EY27" s="30"/>
      <c r="EZ27" s="30"/>
      <c r="FA27" s="30"/>
      <c r="FB27" s="30"/>
      <c r="FC27" s="30"/>
      <c r="FD27" s="30"/>
      <c r="FE27" s="30"/>
      <c r="FF27" s="30"/>
      <c r="FG27" s="30"/>
      <c r="FH27" s="30"/>
      <c r="FI27" s="30"/>
      <c r="FJ27" s="30"/>
      <c r="FK27" s="30"/>
      <c r="FL27" s="30"/>
      <c r="FM27" s="30"/>
      <c r="FN27" s="30"/>
      <c r="FO27" s="30"/>
      <c r="FP27" s="30"/>
      <c r="FQ27" s="30"/>
      <c r="FR27" s="30"/>
      <c r="FS27" s="30"/>
      <c r="FT27" s="30"/>
      <c r="FU27" s="30"/>
      <c r="FV27" s="30"/>
      <c r="FW27" s="30"/>
      <c r="FX27" s="30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  <c r="AAA27" s="3"/>
      <c r="AAB27" s="3"/>
      <c r="AAC27" s="3"/>
      <c r="AAD27" s="3"/>
      <c r="AAE27" s="3"/>
      <c r="AAF27" s="3"/>
      <c r="AAG27" s="3"/>
      <c r="AAH27" s="3"/>
      <c r="AAI27" s="3"/>
      <c r="AAJ27" s="3"/>
      <c r="AAK27" s="3"/>
      <c r="AAL27" s="3"/>
      <c r="AAM27" s="3"/>
    </row>
    <row r="28" spans="1:715" s="2" customFormat="1" ht="50" customHeight="1">
      <c r="A28" s="8"/>
      <c r="B28" s="11"/>
      <c r="C28" s="8"/>
      <c r="D28" s="8"/>
      <c r="E28" s="8"/>
      <c r="F28" s="23"/>
      <c r="G28" s="20"/>
      <c r="H28" s="20"/>
      <c r="I28" s="28"/>
      <c r="J28" s="28"/>
      <c r="K28" s="26"/>
      <c r="L28" s="26"/>
      <c r="M28" s="26"/>
      <c r="N28" s="26"/>
      <c r="O28" s="26"/>
      <c r="P28" s="26"/>
      <c r="Q28" s="41"/>
      <c r="R28" s="41"/>
      <c r="S28" s="41"/>
      <c r="T28" s="41"/>
      <c r="U28" s="41"/>
      <c r="V28" s="41"/>
      <c r="W28" s="41"/>
      <c r="X28" s="41"/>
      <c r="Y28" s="41"/>
      <c r="Z28" s="57"/>
      <c r="AA28" s="103" t="s">
        <v>18</v>
      </c>
      <c r="AB28" s="104"/>
      <c r="AC28" s="56"/>
      <c r="AD28" s="55"/>
      <c r="AE28" s="103" t="s">
        <v>33</v>
      </c>
      <c r="AF28" s="104"/>
      <c r="AG28" s="56"/>
      <c r="AH28" s="55"/>
      <c r="AI28" s="103" t="s">
        <v>20</v>
      </c>
      <c r="AJ28" s="104"/>
      <c r="AK28" s="56"/>
      <c r="AL28" s="55"/>
      <c r="AM28" s="103" t="s">
        <v>21</v>
      </c>
      <c r="AN28" s="104"/>
      <c r="AO28" s="58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21"/>
      <c r="CL28" s="23"/>
      <c r="CM28" s="21"/>
      <c r="CN28" s="21"/>
      <c r="CO28" s="21"/>
      <c r="CP28" s="23"/>
      <c r="CQ28" s="21"/>
      <c r="CR28" s="21"/>
      <c r="CS28" s="21"/>
      <c r="CT28" s="23"/>
      <c r="CU28" s="21"/>
      <c r="CV28" s="21"/>
      <c r="CW28" s="21"/>
      <c r="CX28" s="23"/>
      <c r="CY28" s="21"/>
      <c r="CZ28" s="21"/>
      <c r="DA28" s="21"/>
      <c r="DB28" s="23"/>
      <c r="DC28" s="21"/>
      <c r="DD28" s="21"/>
      <c r="DE28" s="21"/>
      <c r="DF28" s="23"/>
      <c r="DG28" s="21"/>
      <c r="DH28" s="21"/>
      <c r="DI28" s="21"/>
      <c r="DJ28" s="23"/>
      <c r="DK28" s="21"/>
      <c r="DL28" s="21"/>
      <c r="DM28" s="21"/>
      <c r="DN28" s="23"/>
      <c r="DO28" s="21"/>
      <c r="DP28" s="21"/>
      <c r="DQ28" s="21"/>
      <c r="DR28" s="23"/>
      <c r="DS28" s="21"/>
      <c r="DT28" s="21"/>
      <c r="DU28" s="21"/>
      <c r="DV28" s="23"/>
      <c r="DW28" s="32"/>
      <c r="DX28" s="32"/>
      <c r="DY28" s="31"/>
      <c r="DZ28" s="30"/>
      <c r="EA28" s="32"/>
      <c r="EB28" s="32"/>
      <c r="EC28" s="31"/>
      <c r="ED28" s="30"/>
      <c r="EE28" s="32"/>
      <c r="EF28" s="32"/>
      <c r="EG28" s="31"/>
      <c r="EH28" s="30"/>
      <c r="EI28" s="32"/>
      <c r="EJ28" s="32"/>
      <c r="EK28" s="31"/>
      <c r="EL28" s="30"/>
      <c r="EM28" s="32"/>
      <c r="EN28" s="32"/>
      <c r="EO28" s="31"/>
      <c r="EP28" s="30"/>
      <c r="EQ28" s="32"/>
      <c r="ER28" s="32"/>
      <c r="ES28" s="31"/>
      <c r="ET28" s="30"/>
      <c r="EU28" s="32"/>
      <c r="EV28" s="32"/>
      <c r="EW28" s="31"/>
      <c r="EX28" s="30"/>
      <c r="EY28" s="32"/>
      <c r="EZ28" s="32"/>
      <c r="FA28" s="31"/>
      <c r="FB28" s="30"/>
      <c r="FC28" s="32"/>
      <c r="FD28" s="32"/>
      <c r="FE28" s="31"/>
      <c r="FF28" s="30"/>
      <c r="FG28" s="32"/>
      <c r="FH28" s="32"/>
      <c r="FI28" s="31"/>
      <c r="FJ28" s="30"/>
      <c r="FK28" s="32"/>
      <c r="FL28" s="32"/>
      <c r="FM28" s="31"/>
      <c r="FN28" s="30"/>
      <c r="FO28" s="30"/>
      <c r="FP28" s="30"/>
      <c r="FQ28" s="30"/>
      <c r="FR28" s="30"/>
      <c r="FS28" s="30"/>
      <c r="FT28" s="30"/>
      <c r="FU28" s="30"/>
      <c r="FV28" s="30"/>
      <c r="FW28" s="30"/>
      <c r="FX28" s="30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  <c r="AAA28" s="3"/>
      <c r="AAB28" s="3"/>
      <c r="AAC28" s="3"/>
      <c r="AAD28" s="3"/>
      <c r="AAE28" s="3"/>
      <c r="AAF28" s="3"/>
      <c r="AAG28" s="3"/>
      <c r="AAH28" s="3"/>
      <c r="AAI28" s="3"/>
      <c r="AAJ28" s="3"/>
      <c r="AAK28" s="3"/>
      <c r="AAL28" s="3"/>
      <c r="AAM28" s="3"/>
    </row>
    <row r="29" spans="1:715" s="2" customFormat="1" ht="50" customHeight="1" thickBot="1">
      <c r="A29" s="8"/>
      <c r="B29" s="11"/>
      <c r="C29" s="8"/>
      <c r="D29" s="8"/>
      <c r="E29" s="8"/>
      <c r="F29" s="23"/>
      <c r="G29" s="20"/>
      <c r="H29" s="20"/>
      <c r="I29" s="28"/>
      <c r="J29" s="28"/>
      <c r="K29" s="26"/>
      <c r="L29" s="26"/>
      <c r="M29" s="26"/>
      <c r="N29" s="26"/>
      <c r="O29" s="26"/>
      <c r="P29" s="26"/>
      <c r="Q29" s="41"/>
      <c r="R29" s="41"/>
      <c r="S29" s="41"/>
      <c r="T29" s="41"/>
      <c r="U29" s="41"/>
      <c r="V29" s="41"/>
      <c r="W29" s="41"/>
      <c r="X29" s="41"/>
      <c r="Y29" s="41"/>
      <c r="Z29" s="61"/>
      <c r="AA29" s="105" t="s">
        <v>19</v>
      </c>
      <c r="AB29" s="106"/>
      <c r="AC29" s="62"/>
      <c r="AD29" s="63"/>
      <c r="AE29" s="105" t="s">
        <v>16</v>
      </c>
      <c r="AF29" s="106"/>
      <c r="AG29" s="62"/>
      <c r="AH29" s="63"/>
      <c r="AI29" s="105" t="s">
        <v>9</v>
      </c>
      <c r="AJ29" s="106"/>
      <c r="AK29" s="62"/>
      <c r="AL29" s="63"/>
      <c r="AM29" s="105" t="s">
        <v>17</v>
      </c>
      <c r="AN29" s="106"/>
      <c r="AO29" s="64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21"/>
      <c r="CL29" s="23"/>
      <c r="CM29" s="21"/>
      <c r="CN29" s="21"/>
      <c r="CO29" s="21"/>
      <c r="CP29" s="23"/>
      <c r="CQ29" s="21"/>
      <c r="CR29" s="21"/>
      <c r="CS29" s="21"/>
      <c r="CT29" s="23"/>
      <c r="CU29" s="21"/>
      <c r="CV29" s="21"/>
      <c r="CW29" s="21"/>
      <c r="CX29" s="23"/>
      <c r="CY29" s="21"/>
      <c r="CZ29" s="21"/>
      <c r="DA29" s="21"/>
      <c r="DB29" s="23"/>
      <c r="DC29" s="21"/>
      <c r="DD29" s="21"/>
      <c r="DE29" s="21"/>
      <c r="DF29" s="23"/>
      <c r="DG29" s="21"/>
      <c r="DH29" s="21"/>
      <c r="DI29" s="21"/>
      <c r="DJ29" s="23"/>
      <c r="DK29" s="21"/>
      <c r="DL29" s="21"/>
      <c r="DM29" s="21"/>
      <c r="DN29" s="23"/>
      <c r="DO29" s="21"/>
      <c r="DP29" s="21"/>
      <c r="DQ29" s="21"/>
      <c r="DR29" s="23"/>
      <c r="DS29" s="21"/>
      <c r="DT29" s="21"/>
      <c r="DU29" s="21"/>
      <c r="DV29" s="23"/>
      <c r="DW29" s="32"/>
      <c r="DX29" s="32"/>
      <c r="DY29" s="31"/>
      <c r="DZ29" s="30"/>
      <c r="EA29" s="32"/>
      <c r="EB29" s="32"/>
      <c r="EC29" s="31"/>
      <c r="ED29" s="30"/>
      <c r="EE29" s="32"/>
      <c r="EF29" s="32"/>
      <c r="EG29" s="31"/>
      <c r="EH29" s="30"/>
      <c r="EI29" s="32"/>
      <c r="EJ29" s="32"/>
      <c r="EK29" s="31"/>
      <c r="EL29" s="30"/>
      <c r="EM29" s="32"/>
      <c r="EN29" s="32"/>
      <c r="EO29" s="31"/>
      <c r="EP29" s="30"/>
      <c r="EQ29" s="32"/>
      <c r="ER29" s="32"/>
      <c r="ES29" s="31"/>
      <c r="ET29" s="30"/>
      <c r="EU29" s="32"/>
      <c r="EV29" s="32"/>
      <c r="EW29" s="31"/>
      <c r="EX29" s="30"/>
      <c r="EY29" s="32"/>
      <c r="EZ29" s="32"/>
      <c r="FA29" s="31"/>
      <c r="FB29" s="30"/>
      <c r="FC29" s="32"/>
      <c r="FD29" s="32"/>
      <c r="FE29" s="31"/>
      <c r="FF29" s="30"/>
      <c r="FG29" s="32"/>
      <c r="FH29" s="32"/>
      <c r="FI29" s="31"/>
      <c r="FJ29" s="30"/>
      <c r="FK29" s="32"/>
      <c r="FL29" s="32"/>
      <c r="FM29" s="31"/>
      <c r="FN29" s="30"/>
      <c r="FO29" s="30"/>
      <c r="FP29" s="30"/>
      <c r="FQ29" s="30"/>
      <c r="FR29" s="30"/>
      <c r="FS29" s="30"/>
      <c r="FT29" s="30"/>
      <c r="FU29" s="30"/>
      <c r="FV29" s="30"/>
      <c r="FW29" s="30"/>
      <c r="FX29" s="30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  <c r="AAA29" s="3"/>
      <c r="AAB29" s="3"/>
      <c r="AAC29" s="3"/>
      <c r="AAD29" s="3"/>
      <c r="AAE29" s="3"/>
      <c r="AAF29" s="3"/>
      <c r="AAG29" s="3"/>
      <c r="AAH29" s="3"/>
      <c r="AAI29" s="3"/>
      <c r="AAJ29" s="3"/>
      <c r="AAK29" s="3"/>
      <c r="AAL29" s="3"/>
      <c r="AAM29" s="3"/>
    </row>
    <row r="30" spans="1:715" s="2" customFormat="1" ht="50" customHeight="1">
      <c r="A30" s="8"/>
      <c r="B30" s="11"/>
      <c r="C30" s="8"/>
      <c r="D30" s="8"/>
      <c r="E30" s="8"/>
      <c r="F30" s="23"/>
      <c r="G30" s="20"/>
      <c r="H30" s="20"/>
      <c r="I30" s="28"/>
      <c r="J30" s="28"/>
      <c r="K30" s="26"/>
      <c r="L30" s="26"/>
      <c r="M30" s="26"/>
      <c r="N30" s="26"/>
      <c r="O30" s="26"/>
      <c r="P30" s="26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30"/>
      <c r="DX30" s="3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30"/>
      <c r="ER30" s="30"/>
      <c r="ES30" s="30"/>
      <c r="ET30" s="30"/>
      <c r="EU30" s="30"/>
      <c r="EV30" s="30"/>
      <c r="EW30" s="30"/>
      <c r="EX30" s="30"/>
      <c r="EY30" s="30"/>
      <c r="EZ30" s="30"/>
      <c r="FA30" s="30"/>
      <c r="FB30" s="30"/>
      <c r="FC30" s="30"/>
      <c r="FD30" s="30"/>
      <c r="FE30" s="30"/>
      <c r="FF30" s="30"/>
      <c r="FG30" s="30"/>
      <c r="FH30" s="30"/>
      <c r="FI30" s="30"/>
      <c r="FJ30" s="30"/>
      <c r="FK30" s="30"/>
      <c r="FL30" s="30"/>
      <c r="FM30" s="30"/>
      <c r="FN30" s="30"/>
      <c r="FO30" s="30"/>
      <c r="FP30" s="30"/>
      <c r="FQ30" s="30"/>
      <c r="FR30" s="30"/>
      <c r="FS30" s="30"/>
      <c r="FT30" s="30"/>
      <c r="FU30" s="30"/>
      <c r="FV30" s="30"/>
      <c r="FW30" s="30"/>
      <c r="FX30" s="30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  <c r="AAA30" s="3"/>
      <c r="AAB30" s="3"/>
      <c r="AAC30" s="3"/>
      <c r="AAD30" s="3"/>
      <c r="AAE30" s="3"/>
      <c r="AAF30" s="3"/>
      <c r="AAG30" s="3"/>
      <c r="AAH30" s="3"/>
      <c r="AAI30" s="3"/>
      <c r="AAJ30" s="3"/>
      <c r="AAK30" s="3"/>
      <c r="AAL30" s="3"/>
      <c r="AAM30" s="3"/>
    </row>
    <row r="31" spans="1:715" s="2" customFormat="1" ht="50" customHeight="1">
      <c r="A31" s="8"/>
      <c r="B31" s="11"/>
      <c r="C31" s="8"/>
      <c r="D31" s="8"/>
      <c r="E31" s="8"/>
      <c r="F31" s="23"/>
      <c r="G31" s="20"/>
      <c r="H31" s="20"/>
      <c r="I31" s="28"/>
      <c r="J31" s="28"/>
      <c r="K31" s="26"/>
      <c r="L31" s="26"/>
      <c r="M31" s="26"/>
      <c r="N31" s="26"/>
      <c r="O31" s="26"/>
      <c r="P31" s="26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30"/>
      <c r="DX31" s="30"/>
      <c r="DY31" s="30"/>
      <c r="DZ31" s="30"/>
      <c r="EA31" s="30"/>
      <c r="EB31" s="30"/>
      <c r="EC31" s="30"/>
      <c r="ED31" s="30"/>
      <c r="EE31" s="30"/>
      <c r="EF31" s="30"/>
      <c r="EG31" s="30"/>
      <c r="EH31" s="30"/>
      <c r="EI31" s="30"/>
      <c r="EJ31" s="30"/>
      <c r="EK31" s="30"/>
      <c r="EL31" s="30"/>
      <c r="EM31" s="30"/>
      <c r="EN31" s="30"/>
      <c r="EO31" s="30"/>
      <c r="EP31" s="30"/>
      <c r="EQ31" s="30"/>
      <c r="ER31" s="30"/>
      <c r="ES31" s="30"/>
      <c r="ET31" s="30"/>
      <c r="EU31" s="30"/>
      <c r="EV31" s="30"/>
      <c r="EW31" s="30"/>
      <c r="EX31" s="30"/>
      <c r="EY31" s="30"/>
      <c r="EZ31" s="30"/>
      <c r="FA31" s="30"/>
      <c r="FB31" s="30"/>
      <c r="FC31" s="30"/>
      <c r="FD31" s="30"/>
      <c r="FE31" s="30"/>
      <c r="FF31" s="30"/>
      <c r="FG31" s="30"/>
      <c r="FH31" s="30"/>
      <c r="FI31" s="30"/>
      <c r="FJ31" s="30"/>
      <c r="FK31" s="30"/>
      <c r="FL31" s="30"/>
      <c r="FM31" s="30"/>
      <c r="FN31" s="30"/>
      <c r="FO31" s="30"/>
      <c r="FP31" s="30"/>
      <c r="FQ31" s="30"/>
      <c r="FR31" s="30"/>
      <c r="FS31" s="30"/>
      <c r="FT31" s="30"/>
      <c r="FU31" s="30"/>
      <c r="FV31" s="30"/>
      <c r="FW31" s="30"/>
      <c r="FX31" s="30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  <c r="AAA31" s="3"/>
      <c r="AAB31" s="3"/>
      <c r="AAC31" s="3"/>
      <c r="AAD31" s="3"/>
      <c r="AAE31" s="3"/>
      <c r="AAF31" s="3"/>
      <c r="AAG31" s="3"/>
      <c r="AAH31" s="3"/>
      <c r="AAI31" s="3"/>
      <c r="AAJ31" s="3"/>
      <c r="AAK31" s="3"/>
      <c r="AAL31" s="3"/>
      <c r="AAM31" s="3"/>
    </row>
    <row r="32" spans="1:715" s="2" customFormat="1" ht="50" customHeight="1">
      <c r="A32" s="8"/>
      <c r="B32" s="11"/>
      <c r="C32" s="8"/>
      <c r="D32" s="8"/>
      <c r="E32" s="8"/>
      <c r="F32" s="23"/>
      <c r="G32" s="20"/>
      <c r="H32" s="20"/>
      <c r="I32" s="28"/>
      <c r="J32" s="28"/>
      <c r="K32" s="26"/>
      <c r="L32" s="26"/>
      <c r="M32" s="26"/>
      <c r="N32" s="26"/>
      <c r="O32" s="26"/>
      <c r="P32" s="26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21"/>
      <c r="CL32" s="23"/>
      <c r="CM32" s="21"/>
      <c r="CN32" s="21"/>
      <c r="CO32" s="21"/>
      <c r="CP32" s="23"/>
      <c r="CQ32" s="21"/>
      <c r="CR32" s="21"/>
      <c r="CS32" s="21"/>
      <c r="CT32" s="23"/>
      <c r="CU32" s="21"/>
      <c r="CV32" s="21"/>
      <c r="CW32" s="21"/>
      <c r="CX32" s="23"/>
      <c r="CY32" s="21"/>
      <c r="CZ32" s="21"/>
      <c r="DA32" s="21"/>
      <c r="DB32" s="23"/>
      <c r="DC32" s="21"/>
      <c r="DD32" s="21"/>
      <c r="DE32" s="21"/>
      <c r="DF32" s="23"/>
      <c r="DG32" s="21"/>
      <c r="DH32" s="21"/>
      <c r="DI32" s="21"/>
      <c r="DJ32" s="23"/>
      <c r="DK32" s="21"/>
      <c r="DL32" s="21"/>
      <c r="DM32" s="21"/>
      <c r="DN32" s="23"/>
      <c r="DO32" s="21"/>
      <c r="DP32" s="21"/>
      <c r="DQ32" s="21"/>
      <c r="DR32" s="23"/>
      <c r="DS32" s="21"/>
      <c r="DT32" s="21"/>
      <c r="DU32" s="21"/>
      <c r="DV32" s="23"/>
      <c r="DW32" s="32"/>
      <c r="DX32" s="32"/>
      <c r="DY32" s="31"/>
      <c r="DZ32" s="30"/>
      <c r="EA32" s="32"/>
      <c r="EB32" s="32"/>
      <c r="EC32" s="31"/>
      <c r="ED32" s="30"/>
      <c r="EE32" s="32"/>
      <c r="EF32" s="32"/>
      <c r="EG32" s="31"/>
      <c r="EH32" s="30"/>
      <c r="EI32" s="32"/>
      <c r="EJ32" s="32"/>
      <c r="EK32" s="31"/>
      <c r="EL32" s="30"/>
      <c r="EM32" s="32"/>
      <c r="EN32" s="32"/>
      <c r="EO32" s="31"/>
      <c r="EP32" s="30"/>
      <c r="EQ32" s="32"/>
      <c r="ER32" s="32"/>
      <c r="ES32" s="31"/>
      <c r="ET32" s="30"/>
      <c r="EU32" s="32"/>
      <c r="EV32" s="32"/>
      <c r="EW32" s="31"/>
      <c r="EX32" s="30"/>
      <c r="EY32" s="32"/>
      <c r="EZ32" s="32"/>
      <c r="FA32" s="31"/>
      <c r="FB32" s="30"/>
      <c r="FC32" s="32"/>
      <c r="FD32" s="32"/>
      <c r="FE32" s="31"/>
      <c r="FF32" s="30"/>
      <c r="FG32" s="32"/>
      <c r="FH32" s="32"/>
      <c r="FI32" s="31"/>
      <c r="FJ32" s="30"/>
      <c r="FK32" s="32"/>
      <c r="FL32" s="32"/>
      <c r="FM32" s="31"/>
      <c r="FN32" s="30"/>
      <c r="FO32" s="30"/>
      <c r="FP32" s="30"/>
      <c r="FQ32" s="30"/>
      <c r="FR32" s="30"/>
      <c r="FS32" s="30"/>
      <c r="FT32" s="30"/>
      <c r="FU32" s="30"/>
      <c r="FV32" s="30"/>
      <c r="FW32" s="30"/>
      <c r="FX32" s="30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  <c r="AAA32" s="3"/>
      <c r="AAB32" s="3"/>
      <c r="AAC32" s="3"/>
      <c r="AAD32" s="3"/>
      <c r="AAE32" s="3"/>
      <c r="AAF32" s="3"/>
      <c r="AAG32" s="3"/>
      <c r="AAH32" s="3"/>
      <c r="AAI32" s="3"/>
      <c r="AAJ32" s="3"/>
      <c r="AAK32" s="3"/>
      <c r="AAL32" s="3"/>
      <c r="AAM32" s="3"/>
    </row>
    <row r="33" spans="1:715" s="2" customFormat="1" ht="50" customHeight="1">
      <c r="A33" s="8"/>
      <c r="B33" s="11"/>
      <c r="C33" s="8"/>
      <c r="D33" s="8"/>
      <c r="E33" s="8"/>
      <c r="F33" s="23"/>
      <c r="G33" s="20"/>
      <c r="H33" s="20"/>
      <c r="I33" s="28"/>
      <c r="J33" s="28"/>
      <c r="K33" s="26"/>
      <c r="L33" s="26"/>
      <c r="M33" s="26"/>
      <c r="N33" s="26"/>
      <c r="O33" s="26"/>
      <c r="P33" s="26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21"/>
      <c r="CL33" s="23"/>
      <c r="CM33" s="21"/>
      <c r="CN33" s="21"/>
      <c r="CO33" s="21"/>
      <c r="CP33" s="23"/>
      <c r="CQ33" s="21"/>
      <c r="CR33" s="21"/>
      <c r="CS33" s="21"/>
      <c r="CT33" s="23"/>
      <c r="CU33" s="21"/>
      <c r="CV33" s="21"/>
      <c r="CW33" s="21"/>
      <c r="CX33" s="23"/>
      <c r="CY33" s="21"/>
      <c r="CZ33" s="21"/>
      <c r="DA33" s="21"/>
      <c r="DB33" s="23"/>
      <c r="DC33" s="21"/>
      <c r="DD33" s="21"/>
      <c r="DE33" s="21"/>
      <c r="DF33" s="23"/>
      <c r="DG33" s="21"/>
      <c r="DH33" s="21"/>
      <c r="DI33" s="21"/>
      <c r="DJ33" s="23"/>
      <c r="DK33" s="21"/>
      <c r="DL33" s="21"/>
      <c r="DM33" s="21"/>
      <c r="DN33" s="23"/>
      <c r="DO33" s="21"/>
      <c r="DP33" s="21"/>
      <c r="DQ33" s="21"/>
      <c r="DR33" s="23"/>
      <c r="DS33" s="21"/>
      <c r="DT33" s="21"/>
      <c r="DU33" s="21"/>
      <c r="DV33" s="23"/>
      <c r="DW33" s="32"/>
      <c r="DX33" s="32"/>
      <c r="DY33" s="31"/>
      <c r="DZ33" s="30"/>
      <c r="EA33" s="32"/>
      <c r="EB33" s="32"/>
      <c r="EC33" s="31"/>
      <c r="ED33" s="30"/>
      <c r="EE33" s="32"/>
      <c r="EF33" s="32"/>
      <c r="EG33" s="31"/>
      <c r="EH33" s="30"/>
      <c r="EI33" s="32"/>
      <c r="EJ33" s="32"/>
      <c r="EK33" s="31"/>
      <c r="EL33" s="30"/>
      <c r="EM33" s="32"/>
      <c r="EN33" s="32"/>
      <c r="EO33" s="31"/>
      <c r="EP33" s="30"/>
      <c r="EQ33" s="32"/>
      <c r="ER33" s="32"/>
      <c r="ES33" s="31"/>
      <c r="ET33" s="30"/>
      <c r="EU33" s="32"/>
      <c r="EV33" s="32"/>
      <c r="EW33" s="31"/>
      <c r="EX33" s="30"/>
      <c r="EY33" s="32"/>
      <c r="EZ33" s="32"/>
      <c r="FA33" s="31"/>
      <c r="FB33" s="30"/>
      <c r="FC33" s="32"/>
      <c r="FD33" s="32"/>
      <c r="FE33" s="31"/>
      <c r="FF33" s="30"/>
      <c r="FG33" s="32"/>
      <c r="FH33" s="32"/>
      <c r="FI33" s="31"/>
      <c r="FJ33" s="30"/>
      <c r="FK33" s="32"/>
      <c r="FL33" s="32"/>
      <c r="FM33" s="31"/>
      <c r="FN33" s="30"/>
      <c r="FO33" s="30"/>
      <c r="FP33" s="30"/>
      <c r="FQ33" s="30"/>
      <c r="FR33" s="30"/>
      <c r="FS33" s="30"/>
      <c r="FT33" s="30"/>
      <c r="FU33" s="30"/>
      <c r="FV33" s="30"/>
      <c r="FW33" s="30"/>
      <c r="FX33" s="30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  <c r="AAA33" s="3"/>
      <c r="AAB33" s="3"/>
      <c r="AAC33" s="3"/>
      <c r="AAD33" s="3"/>
      <c r="AAE33" s="3"/>
      <c r="AAF33" s="3"/>
      <c r="AAG33" s="3"/>
      <c r="AAH33" s="3"/>
      <c r="AAI33" s="3"/>
      <c r="AAJ33" s="3"/>
      <c r="AAK33" s="3"/>
      <c r="AAL33" s="3"/>
      <c r="AAM33" s="3"/>
    </row>
    <row r="34" spans="1:715" s="2" customFormat="1" ht="50" customHeight="1">
      <c r="A34" s="8"/>
      <c r="B34" s="11"/>
      <c r="C34" s="8"/>
      <c r="D34" s="8"/>
      <c r="E34" s="8"/>
      <c r="F34" s="23"/>
      <c r="G34" s="20"/>
      <c r="H34" s="20"/>
      <c r="I34" s="28"/>
      <c r="J34" s="28"/>
      <c r="K34" s="26"/>
      <c r="L34" s="26"/>
      <c r="M34" s="26"/>
      <c r="N34" s="26"/>
      <c r="O34" s="26"/>
      <c r="P34" s="26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30"/>
      <c r="DX34" s="30"/>
      <c r="DY34" s="30"/>
      <c r="DZ34" s="30"/>
      <c r="EA34" s="30"/>
      <c r="EB34" s="30"/>
      <c r="EC34" s="30"/>
      <c r="ED34" s="30"/>
      <c r="EE34" s="30"/>
      <c r="EF34" s="30"/>
      <c r="EG34" s="30"/>
      <c r="EH34" s="30"/>
      <c r="EI34" s="30"/>
      <c r="EJ34" s="30"/>
      <c r="EK34" s="30"/>
      <c r="EL34" s="30"/>
      <c r="EM34" s="30"/>
      <c r="EN34" s="30"/>
      <c r="EO34" s="30"/>
      <c r="EP34" s="30"/>
      <c r="EQ34" s="30"/>
      <c r="ER34" s="30"/>
      <c r="ES34" s="30"/>
      <c r="ET34" s="30"/>
      <c r="EU34" s="30"/>
      <c r="EV34" s="30"/>
      <c r="EW34" s="30"/>
      <c r="EX34" s="30"/>
      <c r="EY34" s="30"/>
      <c r="EZ34" s="30"/>
      <c r="FA34" s="30"/>
      <c r="FB34" s="30"/>
      <c r="FC34" s="30"/>
      <c r="FD34" s="30"/>
      <c r="FE34" s="30"/>
      <c r="FF34" s="30"/>
      <c r="FG34" s="30"/>
      <c r="FH34" s="30"/>
      <c r="FI34" s="30"/>
      <c r="FJ34" s="30"/>
      <c r="FK34" s="30"/>
      <c r="FL34" s="30"/>
      <c r="FM34" s="30"/>
      <c r="FN34" s="30"/>
      <c r="FO34" s="30"/>
      <c r="FP34" s="30"/>
      <c r="FQ34" s="30"/>
      <c r="FR34" s="30"/>
      <c r="FS34" s="30"/>
      <c r="FT34" s="30"/>
      <c r="FU34" s="30"/>
      <c r="FV34" s="30"/>
      <c r="FW34" s="30"/>
      <c r="FX34" s="30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  <c r="AAA34" s="3"/>
      <c r="AAB34" s="3"/>
      <c r="AAC34" s="3"/>
      <c r="AAD34" s="3"/>
      <c r="AAE34" s="3"/>
      <c r="AAF34" s="3"/>
      <c r="AAG34" s="3"/>
      <c r="AAH34" s="3"/>
      <c r="AAI34" s="3"/>
      <c r="AAJ34" s="3"/>
      <c r="AAK34" s="3"/>
      <c r="AAL34" s="3"/>
      <c r="AAM34" s="3"/>
    </row>
    <row r="35" spans="1:715" s="2" customFormat="1" ht="50" customHeight="1">
      <c r="A35" s="8"/>
      <c r="B35" s="11"/>
      <c r="C35" s="8"/>
      <c r="D35" s="8"/>
      <c r="E35" s="8"/>
      <c r="F35" s="23"/>
      <c r="G35" s="20"/>
      <c r="H35" s="20"/>
      <c r="I35" s="28"/>
      <c r="J35" s="28"/>
      <c r="K35" s="26"/>
      <c r="L35" s="26"/>
      <c r="M35" s="26"/>
      <c r="N35" s="26"/>
      <c r="O35" s="26"/>
      <c r="P35" s="26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30"/>
      <c r="DX35" s="3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30"/>
      <c r="ER35" s="30"/>
      <c r="ES35" s="30"/>
      <c r="ET35" s="30"/>
      <c r="EU35" s="30"/>
      <c r="EV35" s="30"/>
      <c r="EW35" s="30"/>
      <c r="EX35" s="30"/>
      <c r="EY35" s="30"/>
      <c r="EZ35" s="30"/>
      <c r="FA35" s="30"/>
      <c r="FB35" s="30"/>
      <c r="FC35" s="30"/>
      <c r="FD35" s="30"/>
      <c r="FE35" s="30"/>
      <c r="FF35" s="30"/>
      <c r="FG35" s="30"/>
      <c r="FH35" s="30"/>
      <c r="FI35" s="30"/>
      <c r="FJ35" s="30"/>
      <c r="FK35" s="30"/>
      <c r="FL35" s="30"/>
      <c r="FM35" s="30"/>
      <c r="FN35" s="30"/>
      <c r="FO35" s="30"/>
      <c r="FP35" s="30"/>
      <c r="FQ35" s="30"/>
      <c r="FR35" s="30"/>
      <c r="FS35" s="30"/>
      <c r="FT35" s="30"/>
      <c r="FU35" s="30"/>
      <c r="FV35" s="30"/>
      <c r="FW35" s="30"/>
      <c r="FX35" s="30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  <c r="AAA35" s="3"/>
      <c r="AAB35" s="3"/>
      <c r="AAC35" s="3"/>
      <c r="AAD35" s="3"/>
      <c r="AAE35" s="3"/>
      <c r="AAF35" s="3"/>
      <c r="AAG35" s="3"/>
      <c r="AAH35" s="3"/>
      <c r="AAI35" s="3"/>
      <c r="AAJ35" s="3"/>
      <c r="AAK35" s="3"/>
      <c r="AAL35" s="3"/>
      <c r="AAM35" s="3"/>
    </row>
    <row r="36" spans="1:715" s="2" customFormat="1" ht="50" customHeight="1">
      <c r="A36" s="8"/>
      <c r="B36" s="11"/>
      <c r="C36" s="8"/>
      <c r="D36" s="8"/>
      <c r="E36" s="8"/>
      <c r="F36" s="23"/>
      <c r="G36" s="20"/>
      <c r="H36" s="20"/>
      <c r="I36" s="28"/>
      <c r="J36" s="28"/>
      <c r="K36" s="26"/>
      <c r="L36" s="26"/>
      <c r="M36" s="26"/>
      <c r="N36" s="26"/>
      <c r="O36" s="26"/>
      <c r="P36" s="26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21"/>
      <c r="CL36" s="23"/>
      <c r="CM36" s="21"/>
      <c r="CN36" s="21"/>
      <c r="CO36" s="21"/>
      <c r="CP36" s="23"/>
      <c r="CQ36" s="21"/>
      <c r="CR36" s="21"/>
      <c r="CS36" s="21"/>
      <c r="CT36" s="23"/>
      <c r="CU36" s="21"/>
      <c r="CV36" s="21"/>
      <c r="CW36" s="21"/>
      <c r="CX36" s="23"/>
      <c r="CY36" s="21"/>
      <c r="CZ36" s="21"/>
      <c r="DA36" s="21"/>
      <c r="DB36" s="23"/>
      <c r="DC36" s="21"/>
      <c r="DD36" s="21"/>
      <c r="DE36" s="21"/>
      <c r="DF36" s="23"/>
      <c r="DG36" s="21"/>
      <c r="DH36" s="21"/>
      <c r="DI36" s="21"/>
      <c r="DJ36" s="23"/>
      <c r="DK36" s="21"/>
      <c r="DL36" s="21"/>
      <c r="DM36" s="21"/>
      <c r="DN36" s="23"/>
      <c r="DO36" s="21"/>
      <c r="DP36" s="21"/>
      <c r="DQ36" s="21"/>
      <c r="DR36" s="23"/>
      <c r="DS36" s="21"/>
      <c r="DT36" s="21"/>
      <c r="DU36" s="21"/>
      <c r="DV36" s="23"/>
      <c r="DW36" s="32"/>
      <c r="DX36" s="32"/>
      <c r="DY36" s="31"/>
      <c r="DZ36" s="30"/>
      <c r="EA36" s="32"/>
      <c r="EB36" s="32"/>
      <c r="EC36" s="31"/>
      <c r="ED36" s="30"/>
      <c r="EE36" s="32"/>
      <c r="EF36" s="32"/>
      <c r="EG36" s="31"/>
      <c r="EH36" s="30"/>
      <c r="EI36" s="32"/>
      <c r="EJ36" s="32"/>
      <c r="EK36" s="31"/>
      <c r="EL36" s="30"/>
      <c r="EM36" s="32"/>
      <c r="EN36" s="32"/>
      <c r="EO36" s="31"/>
      <c r="EP36" s="30"/>
      <c r="EQ36" s="32"/>
      <c r="ER36" s="32"/>
      <c r="ES36" s="31"/>
      <c r="ET36" s="30"/>
      <c r="EU36" s="32"/>
      <c r="EV36" s="32"/>
      <c r="EW36" s="31"/>
      <c r="EX36" s="30"/>
      <c r="EY36" s="32"/>
      <c r="EZ36" s="32"/>
      <c r="FA36" s="31"/>
      <c r="FB36" s="30"/>
      <c r="FC36" s="32"/>
      <c r="FD36" s="32"/>
      <c r="FE36" s="31"/>
      <c r="FF36" s="30"/>
      <c r="FG36" s="32"/>
      <c r="FH36" s="32"/>
      <c r="FI36" s="31"/>
      <c r="FJ36" s="30"/>
      <c r="FK36" s="32"/>
      <c r="FL36" s="32"/>
      <c r="FM36" s="31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  <c r="AAA36" s="3"/>
      <c r="AAB36" s="3"/>
      <c r="AAC36" s="3"/>
      <c r="AAD36" s="3"/>
      <c r="AAE36" s="3"/>
      <c r="AAF36" s="3"/>
      <c r="AAG36" s="3"/>
      <c r="AAH36" s="3"/>
      <c r="AAI36" s="3"/>
      <c r="AAJ36" s="3"/>
      <c r="AAK36" s="3"/>
      <c r="AAL36" s="3"/>
      <c r="AAM36" s="3"/>
    </row>
    <row r="37" spans="1:715" s="2" customFormat="1" ht="50" customHeight="1">
      <c r="A37" s="8"/>
      <c r="B37" s="11"/>
      <c r="C37" s="8"/>
      <c r="D37" s="8"/>
      <c r="E37" s="8"/>
      <c r="F37" s="23"/>
      <c r="G37" s="20"/>
      <c r="H37" s="20"/>
      <c r="I37" s="28"/>
      <c r="J37" s="28"/>
      <c r="K37" s="26"/>
      <c r="L37" s="26"/>
      <c r="M37" s="26"/>
      <c r="N37" s="26"/>
      <c r="O37" s="26"/>
      <c r="P37" s="26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21"/>
      <c r="CL37" s="23"/>
      <c r="CM37" s="21"/>
      <c r="CN37" s="21"/>
      <c r="CO37" s="21"/>
      <c r="CP37" s="23"/>
      <c r="CQ37" s="21"/>
      <c r="CR37" s="21"/>
      <c r="CS37" s="21"/>
      <c r="CT37" s="23"/>
      <c r="CU37" s="21"/>
      <c r="CV37" s="21"/>
      <c r="CW37" s="21"/>
      <c r="CX37" s="23"/>
      <c r="CY37" s="21"/>
      <c r="CZ37" s="21"/>
      <c r="DA37" s="21"/>
      <c r="DB37" s="23"/>
      <c r="DC37" s="21"/>
      <c r="DD37" s="21"/>
      <c r="DE37" s="21"/>
      <c r="DF37" s="23"/>
      <c r="DG37" s="21"/>
      <c r="DH37" s="21"/>
      <c r="DI37" s="21"/>
      <c r="DJ37" s="23"/>
      <c r="DK37" s="21"/>
      <c r="DL37" s="21"/>
      <c r="DM37" s="21"/>
      <c r="DN37" s="23"/>
      <c r="DO37" s="21"/>
      <c r="DP37" s="21"/>
      <c r="DQ37" s="21"/>
      <c r="DR37" s="23"/>
      <c r="DS37" s="21"/>
      <c r="DT37" s="21"/>
      <c r="DU37" s="21"/>
      <c r="DV37" s="23"/>
      <c r="DW37" s="32"/>
      <c r="DX37" s="32"/>
      <c r="DY37" s="31"/>
      <c r="DZ37" s="30"/>
      <c r="EA37" s="32"/>
      <c r="EB37" s="32"/>
      <c r="EC37" s="31"/>
      <c r="ED37" s="30"/>
      <c r="EE37" s="32"/>
      <c r="EF37" s="32"/>
      <c r="EG37" s="31"/>
      <c r="EH37" s="30"/>
      <c r="EI37" s="32"/>
      <c r="EJ37" s="32"/>
      <c r="EK37" s="31"/>
      <c r="EL37" s="30"/>
      <c r="EM37" s="32"/>
      <c r="EN37" s="32"/>
      <c r="EO37" s="31"/>
      <c r="EP37" s="30"/>
      <c r="EQ37" s="32"/>
      <c r="ER37" s="32"/>
      <c r="ES37" s="31"/>
      <c r="ET37" s="30"/>
      <c r="EU37" s="32"/>
      <c r="EV37" s="32"/>
      <c r="EW37" s="31"/>
      <c r="EX37" s="30"/>
      <c r="EY37" s="32"/>
      <c r="EZ37" s="32"/>
      <c r="FA37" s="31"/>
      <c r="FB37" s="30"/>
      <c r="FC37" s="32"/>
      <c r="FD37" s="32"/>
      <c r="FE37" s="31"/>
      <c r="FF37" s="30"/>
      <c r="FG37" s="32"/>
      <c r="FH37" s="32"/>
      <c r="FI37" s="31"/>
      <c r="FJ37" s="30"/>
      <c r="FK37" s="32"/>
      <c r="FL37" s="32"/>
      <c r="FM37" s="31"/>
      <c r="FN37" s="30"/>
      <c r="FO37" s="30"/>
      <c r="FP37" s="30"/>
      <c r="FQ37" s="30"/>
      <c r="FR37" s="30"/>
      <c r="FS37" s="30"/>
      <c r="FT37" s="30"/>
      <c r="FU37" s="30"/>
      <c r="FV37" s="30"/>
      <c r="FW37" s="30"/>
      <c r="FX37" s="30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  <c r="AAA37" s="3"/>
      <c r="AAB37" s="3"/>
      <c r="AAC37" s="3"/>
      <c r="AAD37" s="3"/>
      <c r="AAE37" s="3"/>
      <c r="AAF37" s="3"/>
      <c r="AAG37" s="3"/>
      <c r="AAH37" s="3"/>
      <c r="AAI37" s="3"/>
      <c r="AAJ37" s="3"/>
      <c r="AAK37" s="3"/>
      <c r="AAL37" s="3"/>
      <c r="AAM37" s="3"/>
    </row>
    <row r="38" spans="1:715" s="2" customFormat="1" ht="50" customHeight="1">
      <c r="A38" s="8"/>
      <c r="B38" s="11"/>
      <c r="C38" s="8"/>
      <c r="D38" s="8"/>
      <c r="E38" s="8"/>
      <c r="F38" s="23"/>
      <c r="G38" s="20"/>
      <c r="H38" s="20"/>
      <c r="I38" s="28"/>
      <c r="J38" s="28"/>
      <c r="K38" s="26"/>
      <c r="L38" s="26"/>
      <c r="M38" s="26"/>
      <c r="N38" s="26"/>
      <c r="O38" s="26"/>
      <c r="P38" s="26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V38" s="23"/>
      <c r="DW38" s="30"/>
      <c r="DX38" s="3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30"/>
      <c r="ER38" s="30"/>
      <c r="ES38" s="30"/>
      <c r="ET38" s="30"/>
      <c r="EU38" s="30"/>
      <c r="EV38" s="30"/>
      <c r="EW38" s="30"/>
      <c r="EX38" s="30"/>
      <c r="EY38" s="30"/>
      <c r="EZ38" s="30"/>
      <c r="FA38" s="30"/>
      <c r="FB38" s="30"/>
      <c r="FC38" s="30"/>
      <c r="FD38" s="30"/>
      <c r="FE38" s="30"/>
      <c r="FF38" s="30"/>
      <c r="FG38" s="30"/>
      <c r="FH38" s="30"/>
      <c r="FI38" s="30"/>
      <c r="FJ38" s="30"/>
      <c r="FK38" s="30"/>
      <c r="FL38" s="30"/>
      <c r="FM38" s="30"/>
      <c r="FN38" s="30"/>
      <c r="FO38" s="30"/>
      <c r="FP38" s="30"/>
      <c r="FQ38" s="30"/>
      <c r="FR38" s="30"/>
      <c r="FS38" s="30"/>
      <c r="FT38" s="30"/>
      <c r="FU38" s="30"/>
      <c r="FV38" s="30"/>
      <c r="FW38" s="30"/>
      <c r="FX38" s="30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  <c r="AAA38" s="3"/>
      <c r="AAB38" s="3"/>
      <c r="AAC38" s="3"/>
      <c r="AAD38" s="3"/>
      <c r="AAE38" s="3"/>
      <c r="AAF38" s="3"/>
      <c r="AAG38" s="3"/>
      <c r="AAH38" s="3"/>
      <c r="AAI38" s="3"/>
      <c r="AAJ38" s="3"/>
      <c r="AAK38" s="3"/>
      <c r="AAL38" s="3"/>
      <c r="AAM38" s="3"/>
    </row>
    <row r="39" spans="1:715" s="2" customFormat="1" ht="50" customHeight="1">
      <c r="A39" s="8"/>
      <c r="B39" s="11"/>
      <c r="C39" s="8"/>
      <c r="D39" s="8"/>
      <c r="E39" s="8"/>
      <c r="F39" s="23"/>
      <c r="G39" s="20"/>
      <c r="H39" s="20"/>
      <c r="I39" s="28"/>
      <c r="J39" s="28"/>
      <c r="K39" s="26"/>
      <c r="L39" s="26"/>
      <c r="M39" s="26"/>
      <c r="N39" s="26"/>
      <c r="O39" s="26"/>
      <c r="P39" s="26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V39" s="23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  <c r="ER39" s="30"/>
      <c r="ES39" s="30"/>
      <c r="ET39" s="30"/>
      <c r="EU39" s="30"/>
      <c r="EV39" s="30"/>
      <c r="EW39" s="30"/>
      <c r="EX39" s="30"/>
      <c r="EY39" s="30"/>
      <c r="EZ39" s="30"/>
      <c r="FA39" s="30"/>
      <c r="FB39" s="30"/>
      <c r="FC39" s="30"/>
      <c r="FD39" s="30"/>
      <c r="FE39" s="30"/>
      <c r="FF39" s="30"/>
      <c r="FG39" s="30"/>
      <c r="FH39" s="30"/>
      <c r="FI39" s="30"/>
      <c r="FJ39" s="30"/>
      <c r="FK39" s="30"/>
      <c r="FL39" s="30"/>
      <c r="FM39" s="30"/>
      <c r="FN39" s="30"/>
      <c r="FO39" s="30"/>
      <c r="FP39" s="30"/>
      <c r="FQ39" s="30"/>
      <c r="FR39" s="30"/>
      <c r="FS39" s="30"/>
      <c r="FT39" s="30"/>
      <c r="FU39" s="30"/>
      <c r="FV39" s="30"/>
      <c r="FW39" s="30"/>
      <c r="FX39" s="30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  <c r="AAA39" s="3"/>
      <c r="AAB39" s="3"/>
      <c r="AAC39" s="3"/>
      <c r="AAD39" s="3"/>
      <c r="AAE39" s="3"/>
      <c r="AAF39" s="3"/>
      <c r="AAG39" s="3"/>
      <c r="AAH39" s="3"/>
      <c r="AAI39" s="3"/>
      <c r="AAJ39" s="3"/>
      <c r="AAK39" s="3"/>
      <c r="AAL39" s="3"/>
      <c r="AAM39" s="3"/>
    </row>
    <row r="40" spans="1:715" s="2" customFormat="1" ht="50" customHeight="1">
      <c r="A40" s="8"/>
      <c r="B40" s="11"/>
      <c r="C40" s="8"/>
      <c r="D40" s="8"/>
      <c r="E40" s="8"/>
      <c r="F40" s="23"/>
      <c r="G40" s="20"/>
      <c r="H40" s="20"/>
      <c r="I40" s="28"/>
      <c r="J40" s="28"/>
      <c r="K40" s="26"/>
      <c r="L40" s="26"/>
      <c r="M40" s="26"/>
      <c r="N40" s="26"/>
      <c r="O40" s="26"/>
      <c r="P40" s="26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21"/>
      <c r="CL40" s="23"/>
      <c r="CM40" s="21"/>
      <c r="CN40" s="21"/>
      <c r="CO40" s="21"/>
      <c r="CP40" s="23"/>
      <c r="CQ40" s="21"/>
      <c r="CR40" s="21"/>
      <c r="CS40" s="21"/>
      <c r="CT40" s="23"/>
      <c r="CU40" s="21"/>
      <c r="CV40" s="21"/>
      <c r="CW40" s="21"/>
      <c r="CX40" s="23"/>
      <c r="CY40" s="21"/>
      <c r="CZ40" s="21"/>
      <c r="DA40" s="21"/>
      <c r="DB40" s="23"/>
      <c r="DC40" s="21"/>
      <c r="DD40" s="21"/>
      <c r="DE40" s="21"/>
      <c r="DF40" s="23"/>
      <c r="DG40" s="21"/>
      <c r="DH40" s="21"/>
      <c r="DI40" s="21"/>
      <c r="DJ40" s="23"/>
      <c r="DK40" s="21"/>
      <c r="DL40" s="21"/>
      <c r="DM40" s="21"/>
      <c r="DN40" s="23"/>
      <c r="DO40" s="21"/>
      <c r="DP40" s="21"/>
      <c r="DQ40" s="21"/>
      <c r="DR40" s="23"/>
      <c r="DS40" s="21"/>
      <c r="DT40" s="21"/>
      <c r="DU40" s="21"/>
      <c r="DV40" s="23"/>
      <c r="DW40" s="32"/>
      <c r="DX40" s="32"/>
      <c r="DY40" s="31"/>
      <c r="DZ40" s="30"/>
      <c r="EA40" s="32"/>
      <c r="EB40" s="32"/>
      <c r="EC40" s="31"/>
      <c r="ED40" s="30"/>
      <c r="EE40" s="32"/>
      <c r="EF40" s="32"/>
      <c r="EG40" s="31"/>
      <c r="EH40" s="30"/>
      <c r="EI40" s="32"/>
      <c r="EJ40" s="32"/>
      <c r="EK40" s="31"/>
      <c r="EL40" s="30"/>
      <c r="EM40" s="32"/>
      <c r="EN40" s="32"/>
      <c r="EO40" s="31"/>
      <c r="EP40" s="30"/>
      <c r="EQ40" s="32"/>
      <c r="ER40" s="32"/>
      <c r="ES40" s="31"/>
      <c r="ET40" s="30"/>
      <c r="EU40" s="32"/>
      <c r="EV40" s="32"/>
      <c r="EW40" s="31"/>
      <c r="EX40" s="30"/>
      <c r="EY40" s="32"/>
      <c r="EZ40" s="32"/>
      <c r="FA40" s="31"/>
      <c r="FB40" s="30"/>
      <c r="FC40" s="32"/>
      <c r="FD40" s="32"/>
      <c r="FE40" s="31"/>
      <c r="FF40" s="30"/>
      <c r="FG40" s="32"/>
      <c r="FH40" s="32"/>
      <c r="FI40" s="31"/>
      <c r="FJ40" s="30"/>
      <c r="FK40" s="32"/>
      <c r="FL40" s="32"/>
      <c r="FM40" s="31"/>
      <c r="FN40" s="30"/>
      <c r="FO40" s="30"/>
      <c r="FP40" s="30"/>
      <c r="FQ40" s="30"/>
      <c r="FR40" s="30"/>
      <c r="FS40" s="30"/>
      <c r="FT40" s="30"/>
      <c r="FU40" s="30"/>
      <c r="FV40" s="30"/>
      <c r="FW40" s="30"/>
      <c r="FX40" s="30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  <c r="AAA40" s="3"/>
      <c r="AAB40" s="3"/>
      <c r="AAC40" s="3"/>
      <c r="AAD40" s="3"/>
      <c r="AAE40" s="3"/>
      <c r="AAF40" s="3"/>
      <c r="AAG40" s="3"/>
      <c r="AAH40" s="3"/>
      <c r="AAI40" s="3"/>
      <c r="AAJ40" s="3"/>
      <c r="AAK40" s="3"/>
      <c r="AAL40" s="3"/>
      <c r="AAM40" s="3"/>
    </row>
    <row r="41" spans="1:715" s="2" customFormat="1" ht="50" customHeight="1">
      <c r="A41" s="8"/>
      <c r="B41" s="11"/>
      <c r="C41" s="8"/>
      <c r="D41" s="8"/>
      <c r="E41" s="8"/>
      <c r="F41" s="23"/>
      <c r="G41" s="24"/>
      <c r="H41" s="20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21"/>
      <c r="CL41" s="23"/>
      <c r="CM41" s="21"/>
      <c r="CN41" s="21"/>
      <c r="CO41" s="21"/>
      <c r="CP41" s="23"/>
      <c r="CQ41" s="21"/>
      <c r="CR41" s="21"/>
      <c r="CS41" s="21"/>
      <c r="CT41" s="23"/>
      <c r="CU41" s="21"/>
      <c r="CV41" s="21"/>
      <c r="CW41" s="21"/>
      <c r="CX41" s="23"/>
      <c r="CY41" s="21"/>
      <c r="CZ41" s="21"/>
      <c r="DA41" s="21"/>
      <c r="DB41" s="23"/>
      <c r="DC41" s="21"/>
      <c r="DD41" s="21"/>
      <c r="DE41" s="21"/>
      <c r="DF41" s="23"/>
      <c r="DG41" s="21"/>
      <c r="DH41" s="21"/>
      <c r="DI41" s="21"/>
      <c r="DJ41" s="23"/>
      <c r="DK41" s="21"/>
      <c r="DL41" s="21"/>
      <c r="DM41" s="21"/>
      <c r="DN41" s="23"/>
      <c r="DO41" s="21"/>
      <c r="DP41" s="21"/>
      <c r="DQ41" s="21"/>
      <c r="DR41" s="23"/>
      <c r="DS41" s="21"/>
      <c r="DT41" s="21"/>
      <c r="DU41" s="21"/>
      <c r="DV41" s="23"/>
      <c r="DW41" s="32"/>
      <c r="DX41" s="32"/>
      <c r="DY41" s="31"/>
      <c r="DZ41" s="30"/>
      <c r="EA41" s="32"/>
      <c r="EB41" s="32"/>
      <c r="EC41" s="31"/>
      <c r="ED41" s="30"/>
      <c r="EE41" s="32"/>
      <c r="EF41" s="32"/>
      <c r="EG41" s="31"/>
      <c r="EH41" s="30"/>
      <c r="EI41" s="32"/>
      <c r="EJ41" s="32"/>
      <c r="EK41" s="31"/>
      <c r="EL41" s="30"/>
      <c r="EM41" s="32"/>
      <c r="EN41" s="32"/>
      <c r="EO41" s="31"/>
      <c r="EP41" s="30"/>
      <c r="EQ41" s="32"/>
      <c r="ER41" s="32"/>
      <c r="ES41" s="31"/>
      <c r="ET41" s="30"/>
      <c r="EU41" s="32"/>
      <c r="EV41" s="32"/>
      <c r="EW41" s="31"/>
      <c r="EX41" s="30"/>
      <c r="EY41" s="32"/>
      <c r="EZ41" s="32"/>
      <c r="FA41" s="31"/>
      <c r="FB41" s="30"/>
      <c r="FC41" s="32"/>
      <c r="FD41" s="32"/>
      <c r="FE41" s="31"/>
      <c r="FF41" s="30"/>
      <c r="FG41" s="32"/>
      <c r="FH41" s="32"/>
      <c r="FI41" s="31"/>
      <c r="FJ41" s="30"/>
      <c r="FK41" s="32"/>
      <c r="FL41" s="32"/>
      <c r="FM41" s="31"/>
      <c r="FN41" s="30"/>
      <c r="FO41" s="30"/>
      <c r="FP41" s="30"/>
      <c r="FQ41" s="30"/>
      <c r="FR41" s="30"/>
      <c r="FS41" s="30"/>
      <c r="FT41" s="30"/>
      <c r="FU41" s="30"/>
      <c r="FV41" s="30"/>
      <c r="FW41" s="30"/>
      <c r="FX41" s="30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  <c r="AAA41" s="3"/>
      <c r="AAB41" s="3"/>
      <c r="AAC41" s="3"/>
      <c r="AAD41" s="3"/>
      <c r="AAE41" s="3"/>
      <c r="AAF41" s="3"/>
      <c r="AAG41" s="3"/>
      <c r="AAH41" s="3"/>
      <c r="AAI41" s="3"/>
      <c r="AAJ41" s="3"/>
      <c r="AAK41" s="3"/>
      <c r="AAL41" s="3"/>
      <c r="AAM41" s="3"/>
    </row>
    <row r="42" spans="1:715" s="2" customFormat="1" ht="50" customHeight="1">
      <c r="A42" s="8"/>
      <c r="B42" s="11"/>
      <c r="C42" s="8"/>
      <c r="D42" s="8"/>
      <c r="E42" s="8"/>
      <c r="F42" s="23"/>
      <c r="G42" s="24"/>
      <c r="H42" s="20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V42" s="23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  <c r="ER42" s="30"/>
      <c r="ES42" s="30"/>
      <c r="ET42" s="30"/>
      <c r="EU42" s="30"/>
      <c r="EV42" s="30"/>
      <c r="EW42" s="30"/>
      <c r="EX42" s="30"/>
      <c r="EY42" s="30"/>
      <c r="EZ42" s="30"/>
      <c r="FA42" s="30"/>
      <c r="FB42" s="30"/>
      <c r="FC42" s="30"/>
      <c r="FD42" s="30"/>
      <c r="FE42" s="30"/>
      <c r="FF42" s="30"/>
      <c r="FG42" s="30"/>
      <c r="FH42" s="30"/>
      <c r="FI42" s="30"/>
      <c r="FJ42" s="30"/>
      <c r="FK42" s="30"/>
      <c r="FL42" s="30"/>
      <c r="FM42" s="30"/>
      <c r="FN42" s="30"/>
      <c r="FO42" s="30"/>
      <c r="FP42" s="30"/>
      <c r="FQ42" s="30"/>
      <c r="FR42" s="30"/>
      <c r="FS42" s="30"/>
      <c r="FT42" s="30"/>
      <c r="FU42" s="30"/>
      <c r="FV42" s="30"/>
      <c r="FW42" s="30"/>
      <c r="FX42" s="30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  <c r="AAA42" s="3"/>
      <c r="AAB42" s="3"/>
      <c r="AAC42" s="3"/>
      <c r="AAD42" s="3"/>
      <c r="AAE42" s="3"/>
      <c r="AAF42" s="3"/>
      <c r="AAG42" s="3"/>
      <c r="AAH42" s="3"/>
      <c r="AAI42" s="3"/>
      <c r="AAJ42" s="3"/>
      <c r="AAK42" s="3"/>
      <c r="AAL42" s="3"/>
      <c r="AAM42" s="3"/>
    </row>
    <row r="43" spans="1:715" s="2" customFormat="1" ht="50" customHeight="1">
      <c r="A43" s="8"/>
      <c r="B43" s="11"/>
      <c r="C43" s="8"/>
      <c r="D43" s="8"/>
      <c r="E43" s="8"/>
      <c r="F43" s="23"/>
      <c r="G43" s="24"/>
      <c r="H43" s="20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V43" s="23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  <c r="ER43" s="30"/>
      <c r="ES43" s="30"/>
      <c r="ET43" s="30"/>
      <c r="EU43" s="30"/>
      <c r="EV43" s="30"/>
      <c r="EW43" s="30"/>
      <c r="EX43" s="30"/>
      <c r="EY43" s="30"/>
      <c r="EZ43" s="30"/>
      <c r="FA43" s="30"/>
      <c r="FB43" s="30"/>
      <c r="FC43" s="30"/>
      <c r="FD43" s="30"/>
      <c r="FE43" s="30"/>
      <c r="FF43" s="30"/>
      <c r="FG43" s="30"/>
      <c r="FH43" s="30"/>
      <c r="FI43" s="30"/>
      <c r="FJ43" s="30"/>
      <c r="FK43" s="30"/>
      <c r="FL43" s="30"/>
      <c r="FM43" s="30"/>
      <c r="FN43" s="30"/>
      <c r="FO43" s="30"/>
      <c r="FP43" s="30"/>
      <c r="FQ43" s="30"/>
      <c r="FR43" s="30"/>
      <c r="FS43" s="30"/>
      <c r="FT43" s="30"/>
      <c r="FU43" s="30"/>
      <c r="FV43" s="30"/>
      <c r="FW43" s="30"/>
      <c r="FX43" s="30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  <c r="AAA43" s="3"/>
      <c r="AAB43" s="3"/>
      <c r="AAC43" s="3"/>
      <c r="AAD43" s="3"/>
      <c r="AAE43" s="3"/>
      <c r="AAF43" s="3"/>
      <c r="AAG43" s="3"/>
      <c r="AAH43" s="3"/>
      <c r="AAI43" s="3"/>
      <c r="AAJ43" s="3"/>
      <c r="AAK43" s="3"/>
      <c r="AAL43" s="3"/>
      <c r="AAM43" s="3"/>
    </row>
    <row r="44" spans="1:715" s="2" customFormat="1" ht="50" customHeight="1">
      <c r="A44" s="8"/>
      <c r="B44" s="12"/>
      <c r="C44" s="8"/>
      <c r="D44" s="8"/>
      <c r="E44" s="8"/>
      <c r="F44" s="23"/>
      <c r="G44" s="20"/>
      <c r="H44" s="20"/>
      <c r="I44" s="28"/>
      <c r="J44" s="28"/>
      <c r="K44" s="26"/>
      <c r="L44" s="26"/>
      <c r="M44" s="26"/>
      <c r="N44" s="26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3"/>
      <c r="CE44" s="21"/>
      <c r="CF44" s="21"/>
      <c r="CG44" s="21"/>
      <c r="CH44" s="23"/>
      <c r="CI44" s="21"/>
      <c r="CJ44" s="21"/>
      <c r="CK44" s="21"/>
      <c r="CL44" s="23"/>
      <c r="CM44" s="21"/>
      <c r="CN44" s="21"/>
      <c r="CO44" s="21"/>
      <c r="CP44" s="23"/>
      <c r="CQ44" s="21"/>
      <c r="CR44" s="21"/>
      <c r="CS44" s="21"/>
      <c r="CT44" s="23"/>
      <c r="CU44" s="21"/>
      <c r="CV44" s="21"/>
      <c r="CW44" s="21"/>
      <c r="CX44" s="23"/>
      <c r="CY44" s="21"/>
      <c r="CZ44" s="21"/>
      <c r="DA44" s="21"/>
      <c r="DB44" s="23"/>
      <c r="DC44" s="21"/>
      <c r="DD44" s="21"/>
      <c r="DE44" s="21"/>
      <c r="DF44" s="23"/>
      <c r="DG44" s="21"/>
      <c r="DH44" s="21"/>
      <c r="DI44" s="21"/>
      <c r="DJ44" s="23"/>
      <c r="DK44" s="21"/>
      <c r="DL44" s="21"/>
      <c r="DM44" s="21"/>
      <c r="DN44" s="23"/>
      <c r="DO44" s="21"/>
      <c r="DP44" s="21"/>
      <c r="DQ44" s="21"/>
      <c r="DR44" s="23"/>
      <c r="DS44" s="21"/>
      <c r="DT44" s="21"/>
      <c r="DU44" s="21"/>
      <c r="DV44" s="23"/>
      <c r="DW44" s="32"/>
      <c r="DX44" s="32"/>
      <c r="DY44" s="31"/>
      <c r="DZ44" s="30"/>
      <c r="EA44" s="32"/>
      <c r="EB44" s="32"/>
      <c r="EC44" s="31"/>
      <c r="ED44" s="30"/>
      <c r="EE44" s="32"/>
      <c r="EF44" s="32"/>
      <c r="EG44" s="31"/>
      <c r="EH44" s="30"/>
      <c r="EI44" s="32"/>
      <c r="EJ44" s="32"/>
      <c r="EK44" s="31"/>
      <c r="EL44" s="30"/>
      <c r="EM44" s="32"/>
      <c r="EN44" s="32"/>
      <c r="EO44" s="31"/>
      <c r="EP44" s="30"/>
      <c r="EQ44" s="32"/>
      <c r="ER44" s="32"/>
      <c r="ES44" s="31"/>
      <c r="ET44" s="30"/>
      <c r="EU44" s="32"/>
      <c r="EV44" s="32"/>
      <c r="EW44" s="31"/>
      <c r="EX44" s="30"/>
      <c r="EY44" s="32"/>
      <c r="EZ44" s="32"/>
      <c r="FA44" s="31"/>
      <c r="FB44" s="30"/>
      <c r="FC44" s="32"/>
      <c r="FD44" s="32"/>
      <c r="FE44" s="31"/>
      <c r="FF44" s="30"/>
      <c r="FG44" s="32"/>
      <c r="FH44" s="32"/>
      <c r="FI44" s="31"/>
      <c r="FJ44" s="30"/>
      <c r="FK44" s="32"/>
      <c r="FL44" s="32"/>
      <c r="FM44" s="31"/>
      <c r="FN44" s="30"/>
      <c r="FO44" s="30"/>
      <c r="FP44" s="30"/>
      <c r="FQ44" s="30"/>
      <c r="FR44" s="30"/>
      <c r="FS44" s="30"/>
      <c r="FT44" s="30"/>
      <c r="FU44" s="30"/>
      <c r="FV44" s="30"/>
      <c r="FW44" s="30"/>
      <c r="FX44" s="30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  <c r="AAA44" s="3"/>
      <c r="AAB44" s="3"/>
      <c r="AAC44" s="3"/>
      <c r="AAD44" s="3"/>
      <c r="AAE44" s="3"/>
      <c r="AAF44" s="3"/>
      <c r="AAG44" s="3"/>
      <c r="AAH44" s="3"/>
      <c r="AAI44" s="3"/>
      <c r="AAJ44" s="3"/>
      <c r="AAK44" s="3"/>
      <c r="AAL44" s="3"/>
      <c r="AAM44" s="3"/>
    </row>
    <row r="45" spans="1:715" s="2" customFormat="1" ht="50" customHeight="1">
      <c r="A45" s="8"/>
      <c r="B45" s="12"/>
      <c r="C45" s="8"/>
      <c r="D45" s="8"/>
      <c r="E45" s="8"/>
      <c r="F45" s="23"/>
      <c r="G45" s="20"/>
      <c r="H45" s="20"/>
      <c r="I45" s="20"/>
      <c r="J45" s="20"/>
      <c r="K45" s="26"/>
      <c r="L45" s="26"/>
      <c r="M45" s="26"/>
      <c r="N45" s="26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3"/>
      <c r="CE45" s="21"/>
      <c r="CF45" s="21"/>
      <c r="CG45" s="21"/>
      <c r="CH45" s="23"/>
      <c r="CI45" s="21"/>
      <c r="CJ45" s="21"/>
      <c r="CK45" s="21"/>
      <c r="CL45" s="23"/>
      <c r="CM45" s="21"/>
      <c r="CN45" s="21"/>
      <c r="CO45" s="21"/>
      <c r="CP45" s="23"/>
      <c r="CQ45" s="21"/>
      <c r="CR45" s="21"/>
      <c r="CS45" s="21"/>
      <c r="CT45" s="23"/>
      <c r="CU45" s="21"/>
      <c r="CV45" s="21"/>
      <c r="CW45" s="21"/>
      <c r="CX45" s="23"/>
      <c r="CY45" s="21"/>
      <c r="CZ45" s="21"/>
      <c r="DA45" s="21"/>
      <c r="DB45" s="23"/>
      <c r="DC45" s="21"/>
      <c r="DD45" s="21"/>
      <c r="DE45" s="21"/>
      <c r="DF45" s="23"/>
      <c r="DG45" s="21"/>
      <c r="DH45" s="21"/>
      <c r="DI45" s="21"/>
      <c r="DJ45" s="23"/>
      <c r="DK45" s="21"/>
      <c r="DL45" s="21"/>
      <c r="DM45" s="21"/>
      <c r="DN45" s="23"/>
      <c r="DO45" s="21"/>
      <c r="DP45" s="21"/>
      <c r="DQ45" s="21"/>
      <c r="DR45" s="23"/>
      <c r="DS45" s="21"/>
      <c r="DT45" s="21"/>
      <c r="DU45" s="21"/>
      <c r="DV45" s="23"/>
      <c r="DW45" s="32"/>
      <c r="DX45" s="32"/>
      <c r="DY45" s="31"/>
      <c r="DZ45" s="30"/>
      <c r="EA45" s="32"/>
      <c r="EB45" s="32"/>
      <c r="EC45" s="31"/>
      <c r="ED45" s="30"/>
      <c r="EE45" s="32"/>
      <c r="EF45" s="32"/>
      <c r="EG45" s="31"/>
      <c r="EH45" s="30"/>
      <c r="EI45" s="32"/>
      <c r="EJ45" s="32"/>
      <c r="EK45" s="31"/>
      <c r="EL45" s="30"/>
      <c r="EM45" s="32"/>
      <c r="EN45" s="32"/>
      <c r="EO45" s="31"/>
      <c r="EP45" s="30"/>
      <c r="EQ45" s="32"/>
      <c r="ER45" s="32"/>
      <c r="ES45" s="31"/>
      <c r="ET45" s="30"/>
      <c r="EU45" s="32"/>
      <c r="EV45" s="32"/>
      <c r="EW45" s="31"/>
      <c r="EX45" s="30"/>
      <c r="EY45" s="32"/>
      <c r="EZ45" s="32"/>
      <c r="FA45" s="31"/>
      <c r="FB45" s="30"/>
      <c r="FC45" s="32"/>
      <c r="FD45" s="32"/>
      <c r="FE45" s="31"/>
      <c r="FF45" s="30"/>
      <c r="FG45" s="32"/>
      <c r="FH45" s="32"/>
      <c r="FI45" s="31"/>
      <c r="FJ45" s="30"/>
      <c r="FK45" s="32"/>
      <c r="FL45" s="32"/>
      <c r="FM45" s="31"/>
      <c r="FN45" s="30"/>
      <c r="FO45" s="30"/>
      <c r="FP45" s="30"/>
      <c r="FQ45" s="30"/>
      <c r="FR45" s="30"/>
      <c r="FS45" s="30"/>
      <c r="FT45" s="30"/>
      <c r="FU45" s="30"/>
      <c r="FV45" s="30"/>
      <c r="FW45" s="30"/>
      <c r="FX45" s="30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  <c r="AAA45" s="3"/>
      <c r="AAB45" s="3"/>
      <c r="AAC45" s="3"/>
      <c r="AAD45" s="3"/>
      <c r="AAE45" s="3"/>
      <c r="AAF45" s="3"/>
      <c r="AAG45" s="3"/>
      <c r="AAH45" s="3"/>
      <c r="AAI45" s="3"/>
      <c r="AAJ45" s="3"/>
      <c r="AAK45" s="3"/>
      <c r="AAL45" s="3"/>
      <c r="AAM45" s="3"/>
    </row>
    <row r="46" spans="1:715" s="2" customFormat="1" ht="50" customHeight="1">
      <c r="A46" s="8"/>
      <c r="B46" s="12"/>
      <c r="C46" s="8"/>
      <c r="D46" s="8"/>
      <c r="E46" s="8"/>
      <c r="F46" s="23"/>
      <c r="G46" s="20"/>
      <c r="H46" s="20"/>
      <c r="I46" s="26"/>
      <c r="J46" s="26"/>
      <c r="K46" s="26"/>
      <c r="L46" s="26"/>
      <c r="M46" s="26"/>
      <c r="N46" s="26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  <c r="ER46" s="30"/>
      <c r="ES46" s="30"/>
      <c r="ET46" s="30"/>
      <c r="EU46" s="30"/>
      <c r="EV46" s="30"/>
      <c r="EW46" s="30"/>
      <c r="EX46" s="30"/>
      <c r="EY46" s="30"/>
      <c r="EZ46" s="30"/>
      <c r="FA46" s="30"/>
      <c r="FB46" s="30"/>
      <c r="FC46" s="30"/>
      <c r="FD46" s="30"/>
      <c r="FE46" s="30"/>
      <c r="FF46" s="30"/>
      <c r="FG46" s="30"/>
      <c r="FH46" s="30"/>
      <c r="FI46" s="30"/>
      <c r="FJ46" s="30"/>
      <c r="FK46" s="30"/>
      <c r="FL46" s="30"/>
      <c r="FM46" s="30"/>
      <c r="FN46" s="30"/>
      <c r="FO46" s="30"/>
      <c r="FP46" s="30"/>
      <c r="FQ46" s="30"/>
      <c r="FR46" s="30"/>
      <c r="FS46" s="30"/>
      <c r="FT46" s="30"/>
      <c r="FU46" s="30"/>
      <c r="FV46" s="30"/>
      <c r="FW46" s="30"/>
      <c r="FX46" s="30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  <c r="AAA46" s="3"/>
      <c r="AAB46" s="3"/>
      <c r="AAC46" s="3"/>
      <c r="AAD46" s="3"/>
      <c r="AAE46" s="3"/>
      <c r="AAF46" s="3"/>
      <c r="AAG46" s="3"/>
      <c r="AAH46" s="3"/>
      <c r="AAI46" s="3"/>
      <c r="AAJ46" s="3"/>
      <c r="AAK46" s="3"/>
      <c r="AAL46" s="3"/>
      <c r="AAM46" s="3"/>
    </row>
    <row r="47" spans="1:715" s="2" customFormat="1" ht="50" customHeight="1">
      <c r="A47" s="8"/>
      <c r="B47" s="12"/>
      <c r="C47" s="8"/>
      <c r="D47" s="8"/>
      <c r="E47" s="8"/>
      <c r="F47" s="23"/>
      <c r="G47" s="20"/>
      <c r="H47" s="27"/>
      <c r="I47" s="28"/>
      <c r="J47" s="28"/>
      <c r="K47" s="26"/>
      <c r="L47" s="26"/>
      <c r="M47" s="26"/>
      <c r="N47" s="26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5"/>
      <c r="AK47" s="25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5"/>
      <c r="AY47" s="25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  <c r="ER47" s="30"/>
      <c r="ES47" s="30"/>
      <c r="ET47" s="30"/>
      <c r="EU47" s="30"/>
      <c r="EV47" s="30"/>
      <c r="EW47" s="30"/>
      <c r="EX47" s="30"/>
      <c r="EY47" s="30"/>
      <c r="EZ47" s="30"/>
      <c r="FA47" s="30"/>
      <c r="FB47" s="30"/>
      <c r="FC47" s="30"/>
      <c r="FD47" s="30"/>
      <c r="FE47" s="30"/>
      <c r="FF47" s="30"/>
      <c r="FG47" s="30"/>
      <c r="FH47" s="30"/>
      <c r="FI47" s="30"/>
      <c r="FJ47" s="30"/>
      <c r="FK47" s="30"/>
      <c r="FL47" s="30"/>
      <c r="FM47" s="30"/>
      <c r="FN47" s="30"/>
      <c r="FO47" s="30"/>
      <c r="FP47" s="30"/>
      <c r="FQ47" s="30"/>
      <c r="FR47" s="30"/>
      <c r="FS47" s="30"/>
      <c r="FT47" s="30"/>
      <c r="FU47" s="30"/>
      <c r="FV47" s="30"/>
      <c r="FW47" s="30"/>
      <c r="FX47" s="30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  <c r="AAA47" s="3"/>
      <c r="AAB47" s="3"/>
      <c r="AAC47" s="3"/>
      <c r="AAD47" s="3"/>
      <c r="AAE47" s="3"/>
      <c r="AAF47" s="3"/>
      <c r="AAG47" s="3"/>
      <c r="AAH47" s="3"/>
      <c r="AAI47" s="3"/>
      <c r="AAJ47" s="3"/>
      <c r="AAK47" s="3"/>
      <c r="AAL47" s="3"/>
      <c r="AAM47" s="3"/>
    </row>
    <row r="48" spans="1:715" s="2" customFormat="1" ht="50" customHeight="1">
      <c r="A48" s="8"/>
      <c r="B48" s="12"/>
      <c r="C48" s="8"/>
      <c r="D48" s="8"/>
      <c r="E48" s="8"/>
      <c r="F48" s="23"/>
      <c r="G48" s="20"/>
      <c r="H48" s="27"/>
      <c r="I48" s="28"/>
      <c r="J48" s="28"/>
      <c r="K48" s="26"/>
      <c r="L48" s="26"/>
      <c r="M48" s="26"/>
      <c r="N48" s="26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1"/>
      <c r="AL48" s="21"/>
      <c r="AM48" s="21"/>
      <c r="AN48" s="25"/>
      <c r="AO48" s="21"/>
      <c r="AP48" s="21"/>
      <c r="AQ48" s="21"/>
      <c r="AR48" s="25"/>
      <c r="AS48" s="21"/>
      <c r="AT48" s="21"/>
      <c r="AU48" s="21"/>
      <c r="AV48" s="25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3"/>
      <c r="CE48" s="21"/>
      <c r="CF48" s="21"/>
      <c r="CG48" s="21"/>
      <c r="CH48" s="23"/>
      <c r="CI48" s="21"/>
      <c r="CJ48" s="21"/>
      <c r="CK48" s="21"/>
      <c r="CL48" s="23"/>
      <c r="CM48" s="21"/>
      <c r="CN48" s="21"/>
      <c r="CO48" s="21"/>
      <c r="CP48" s="23"/>
      <c r="CQ48" s="21"/>
      <c r="CR48" s="21"/>
      <c r="CS48" s="21"/>
      <c r="CT48" s="23"/>
      <c r="CU48" s="21"/>
      <c r="CV48" s="21"/>
      <c r="CW48" s="21"/>
      <c r="CX48" s="23"/>
      <c r="CY48" s="21"/>
      <c r="CZ48" s="21"/>
      <c r="DA48" s="21"/>
      <c r="DB48" s="23"/>
      <c r="DC48" s="21"/>
      <c r="DD48" s="21"/>
      <c r="DE48" s="21"/>
      <c r="DF48" s="23"/>
      <c r="DG48" s="21"/>
      <c r="DH48" s="21"/>
      <c r="DI48" s="21"/>
      <c r="DJ48" s="23"/>
      <c r="DK48" s="21"/>
      <c r="DL48" s="21"/>
      <c r="DM48" s="21"/>
      <c r="DN48" s="23"/>
      <c r="DO48" s="21"/>
      <c r="DP48" s="21"/>
      <c r="DQ48" s="21"/>
      <c r="DR48" s="23"/>
      <c r="DS48" s="21"/>
      <c r="DT48" s="21"/>
      <c r="DU48" s="21"/>
      <c r="DV48" s="23"/>
      <c r="DW48" s="32"/>
      <c r="DX48" s="32"/>
      <c r="DY48" s="31"/>
      <c r="DZ48" s="30"/>
      <c r="EA48" s="32"/>
      <c r="EB48" s="32"/>
      <c r="EC48" s="31"/>
      <c r="ED48" s="30"/>
      <c r="EE48" s="32"/>
      <c r="EF48" s="32"/>
      <c r="EG48" s="31"/>
      <c r="EH48" s="30"/>
      <c r="EI48" s="32"/>
      <c r="EJ48" s="32"/>
      <c r="EK48" s="31"/>
      <c r="EL48" s="30"/>
      <c r="EM48" s="32"/>
      <c r="EN48" s="32"/>
      <c r="EO48" s="31"/>
      <c r="EP48" s="30"/>
      <c r="EQ48" s="32"/>
      <c r="ER48" s="32"/>
      <c r="ES48" s="31"/>
      <c r="ET48" s="30"/>
      <c r="EU48" s="32"/>
      <c r="EV48" s="32"/>
      <c r="EW48" s="31"/>
      <c r="EX48" s="30"/>
      <c r="EY48" s="32"/>
      <c r="EZ48" s="32"/>
      <c r="FA48" s="31"/>
      <c r="FB48" s="30"/>
      <c r="FC48" s="32"/>
      <c r="FD48" s="32"/>
      <c r="FE48" s="31"/>
      <c r="FF48" s="30"/>
      <c r="FG48" s="32"/>
      <c r="FH48" s="32"/>
      <c r="FI48" s="31"/>
      <c r="FJ48" s="30"/>
      <c r="FK48" s="32"/>
      <c r="FL48" s="32"/>
      <c r="FM48" s="31"/>
      <c r="FN48" s="30"/>
      <c r="FO48" s="30"/>
      <c r="FP48" s="30"/>
      <c r="FQ48" s="30"/>
      <c r="FR48" s="30"/>
      <c r="FS48" s="30"/>
      <c r="FT48" s="30"/>
      <c r="FU48" s="30"/>
      <c r="FV48" s="30"/>
      <c r="FW48" s="30"/>
      <c r="FX48" s="30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  <c r="AAA48" s="3"/>
      <c r="AAB48" s="3"/>
      <c r="AAC48" s="3"/>
      <c r="AAD48" s="3"/>
      <c r="AAE48" s="3"/>
      <c r="AAF48" s="3"/>
      <c r="AAG48" s="3"/>
      <c r="AAH48" s="3"/>
      <c r="AAI48" s="3"/>
      <c r="AAJ48" s="3"/>
      <c r="AAK48" s="3"/>
      <c r="AAL48" s="3"/>
      <c r="AAM48" s="3"/>
    </row>
    <row r="49" spans="1:715" s="2" customFormat="1" ht="50" customHeight="1">
      <c r="A49" s="8"/>
      <c r="B49" s="12"/>
      <c r="C49" s="8"/>
      <c r="D49" s="8"/>
      <c r="E49" s="8"/>
      <c r="F49" s="23"/>
      <c r="G49" s="20"/>
      <c r="H49" s="27"/>
      <c r="I49" s="28"/>
      <c r="J49" s="28"/>
      <c r="K49" s="26"/>
      <c r="L49" s="26"/>
      <c r="M49" s="26"/>
      <c r="N49" s="26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1"/>
      <c r="AL49" s="21"/>
      <c r="AM49" s="21"/>
      <c r="AN49" s="25"/>
      <c r="AO49" s="21"/>
      <c r="AP49" s="21"/>
      <c r="AQ49" s="21"/>
      <c r="AR49" s="25"/>
      <c r="AS49" s="21"/>
      <c r="AT49" s="21"/>
      <c r="AU49" s="21"/>
      <c r="AV49" s="25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3"/>
      <c r="CE49" s="21"/>
      <c r="CF49" s="21"/>
      <c r="CG49" s="21"/>
      <c r="CH49" s="23"/>
      <c r="CI49" s="21"/>
      <c r="CJ49" s="21"/>
      <c r="CK49" s="21"/>
      <c r="CL49" s="23"/>
      <c r="CM49" s="21"/>
      <c r="CN49" s="21"/>
      <c r="CO49" s="21"/>
      <c r="CP49" s="23"/>
      <c r="CQ49" s="21"/>
      <c r="CR49" s="21"/>
      <c r="CS49" s="21"/>
      <c r="CT49" s="23"/>
      <c r="CU49" s="21"/>
      <c r="CV49" s="21"/>
      <c r="CW49" s="21"/>
      <c r="CX49" s="23"/>
      <c r="CY49" s="21"/>
      <c r="CZ49" s="21"/>
      <c r="DA49" s="21"/>
      <c r="DB49" s="23"/>
      <c r="DC49" s="21"/>
      <c r="DD49" s="21"/>
      <c r="DE49" s="21"/>
      <c r="DF49" s="23"/>
      <c r="DG49" s="21"/>
      <c r="DH49" s="21"/>
      <c r="DI49" s="21"/>
      <c r="DJ49" s="23"/>
      <c r="DK49" s="21"/>
      <c r="DL49" s="21"/>
      <c r="DM49" s="21"/>
      <c r="DN49" s="23"/>
      <c r="DO49" s="21"/>
      <c r="DP49" s="21"/>
      <c r="DQ49" s="21"/>
      <c r="DR49" s="23"/>
      <c r="DS49" s="21"/>
      <c r="DT49" s="21"/>
      <c r="DU49" s="21"/>
      <c r="DV49" s="23"/>
      <c r="DW49" s="32"/>
      <c r="DX49" s="32"/>
      <c r="DY49" s="31"/>
      <c r="DZ49" s="30"/>
      <c r="EA49" s="32"/>
      <c r="EB49" s="32"/>
      <c r="EC49" s="31"/>
      <c r="ED49" s="30"/>
      <c r="EE49" s="32"/>
      <c r="EF49" s="32"/>
      <c r="EG49" s="31"/>
      <c r="EH49" s="30"/>
      <c r="EI49" s="32"/>
      <c r="EJ49" s="32"/>
      <c r="EK49" s="31"/>
      <c r="EL49" s="30"/>
      <c r="EM49" s="32"/>
      <c r="EN49" s="32"/>
      <c r="EO49" s="31"/>
      <c r="EP49" s="30"/>
      <c r="EQ49" s="32"/>
      <c r="ER49" s="32"/>
      <c r="ES49" s="31"/>
      <c r="ET49" s="30"/>
      <c r="EU49" s="32"/>
      <c r="EV49" s="32"/>
      <c r="EW49" s="31"/>
      <c r="EX49" s="30"/>
      <c r="EY49" s="32"/>
      <c r="EZ49" s="32"/>
      <c r="FA49" s="31"/>
      <c r="FB49" s="30"/>
      <c r="FC49" s="32"/>
      <c r="FD49" s="32"/>
      <c r="FE49" s="31"/>
      <c r="FF49" s="30"/>
      <c r="FG49" s="32"/>
      <c r="FH49" s="32"/>
      <c r="FI49" s="31"/>
      <c r="FJ49" s="30"/>
      <c r="FK49" s="32"/>
      <c r="FL49" s="32"/>
      <c r="FM49" s="31"/>
      <c r="FN49" s="30"/>
      <c r="FO49" s="30"/>
      <c r="FP49" s="30"/>
      <c r="FQ49" s="30"/>
      <c r="FR49" s="30"/>
      <c r="FS49" s="30"/>
      <c r="FT49" s="30"/>
      <c r="FU49" s="30"/>
      <c r="FV49" s="30"/>
      <c r="FW49" s="30"/>
      <c r="FX49" s="30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  <c r="AAA49" s="3"/>
      <c r="AAB49" s="3"/>
      <c r="AAC49" s="3"/>
      <c r="AAD49" s="3"/>
      <c r="AAE49" s="3"/>
      <c r="AAF49" s="3"/>
      <c r="AAG49" s="3"/>
      <c r="AAH49" s="3"/>
      <c r="AAI49" s="3"/>
      <c r="AAJ49" s="3"/>
      <c r="AAK49" s="3"/>
      <c r="AAL49" s="3"/>
      <c r="AAM49" s="3"/>
    </row>
    <row r="50" spans="1:715" s="2" customFormat="1" ht="50" customHeight="1">
      <c r="A50" s="8"/>
      <c r="B50" s="12"/>
      <c r="C50" s="8"/>
      <c r="D50" s="8"/>
      <c r="E50" s="8"/>
      <c r="F50" s="23"/>
      <c r="G50" s="20"/>
      <c r="H50" s="27"/>
      <c r="I50" s="28"/>
      <c r="J50" s="28"/>
      <c r="K50" s="26"/>
      <c r="L50" s="26"/>
      <c r="M50" s="26"/>
      <c r="N50" s="26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/>
      <c r="DP50" s="23"/>
      <c r="DQ50" s="23"/>
      <c r="DR50" s="23"/>
      <c r="DS50" s="23"/>
      <c r="DT50" s="23"/>
      <c r="DU50" s="23"/>
      <c r="DV50" s="23"/>
      <c r="DW50" s="30"/>
      <c r="DX50" s="3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  <c r="FA50" s="30"/>
      <c r="FB50" s="30"/>
      <c r="FC50" s="30"/>
      <c r="FD50" s="30"/>
      <c r="FE50" s="30"/>
      <c r="FF50" s="30"/>
      <c r="FG50" s="30"/>
      <c r="FH50" s="30"/>
      <c r="FI50" s="30"/>
      <c r="FJ50" s="30"/>
      <c r="FK50" s="30"/>
      <c r="FL50" s="30"/>
      <c r="FM50" s="30"/>
      <c r="FN50" s="30"/>
      <c r="FO50" s="30"/>
      <c r="FP50" s="30"/>
      <c r="FQ50" s="30"/>
      <c r="FR50" s="30"/>
      <c r="FS50" s="30"/>
      <c r="FT50" s="30"/>
      <c r="FU50" s="30"/>
      <c r="FV50" s="30"/>
      <c r="FW50" s="30"/>
      <c r="FX50" s="30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  <c r="AAA50" s="3"/>
      <c r="AAB50" s="3"/>
      <c r="AAC50" s="3"/>
      <c r="AAD50" s="3"/>
      <c r="AAE50" s="3"/>
      <c r="AAF50" s="3"/>
      <c r="AAG50" s="3"/>
      <c r="AAH50" s="3"/>
      <c r="AAI50" s="3"/>
      <c r="AAJ50" s="3"/>
      <c r="AAK50" s="3"/>
      <c r="AAL50" s="3"/>
      <c r="AAM50" s="3"/>
    </row>
    <row r="51" spans="1:715" s="2" customFormat="1" ht="50" customHeight="1">
      <c r="A51" s="8"/>
      <c r="B51" s="12"/>
      <c r="C51" s="8"/>
      <c r="D51" s="8"/>
      <c r="E51" s="8"/>
      <c r="F51" s="23"/>
      <c r="G51" s="20"/>
      <c r="H51" s="27"/>
      <c r="I51" s="28"/>
      <c r="J51" s="28"/>
      <c r="K51" s="26"/>
      <c r="L51" s="26"/>
      <c r="M51" s="26"/>
      <c r="N51" s="26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5"/>
      <c r="AK51" s="25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5"/>
      <c r="AY51" s="25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/>
      <c r="DP51" s="23"/>
      <c r="DQ51" s="23"/>
      <c r="DR51" s="23"/>
      <c r="DS51" s="23"/>
      <c r="DT51" s="23"/>
      <c r="DU51" s="23"/>
      <c r="DV51" s="23"/>
      <c r="DW51" s="30"/>
      <c r="DX51" s="3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  <c r="FA51" s="30"/>
      <c r="FB51" s="30"/>
      <c r="FC51" s="30"/>
      <c r="FD51" s="30"/>
      <c r="FE51" s="30"/>
      <c r="FF51" s="30"/>
      <c r="FG51" s="30"/>
      <c r="FH51" s="30"/>
      <c r="FI51" s="30"/>
      <c r="FJ51" s="30"/>
      <c r="FK51" s="30"/>
      <c r="FL51" s="30"/>
      <c r="FM51" s="30"/>
      <c r="FN51" s="30"/>
      <c r="FO51" s="30"/>
      <c r="FP51" s="30"/>
      <c r="FQ51" s="30"/>
      <c r="FR51" s="30"/>
      <c r="FS51" s="30"/>
      <c r="FT51" s="30"/>
      <c r="FU51" s="30"/>
      <c r="FV51" s="30"/>
      <c r="FW51" s="30"/>
      <c r="FX51" s="30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  <c r="AAA51" s="3"/>
      <c r="AAB51" s="3"/>
      <c r="AAC51" s="3"/>
      <c r="AAD51" s="3"/>
      <c r="AAE51" s="3"/>
      <c r="AAF51" s="3"/>
      <c r="AAG51" s="3"/>
      <c r="AAH51" s="3"/>
      <c r="AAI51" s="3"/>
      <c r="AAJ51" s="3"/>
      <c r="AAK51" s="3"/>
      <c r="AAL51" s="3"/>
      <c r="AAM51" s="3"/>
    </row>
    <row r="52" spans="1:715" s="2" customFormat="1" ht="50" customHeight="1">
      <c r="A52" s="8"/>
      <c r="B52" s="12"/>
      <c r="C52" s="8"/>
      <c r="D52" s="8"/>
      <c r="E52" s="8"/>
      <c r="F52" s="23"/>
      <c r="G52" s="20"/>
      <c r="H52" s="27"/>
      <c r="I52" s="28"/>
      <c r="J52" s="28"/>
      <c r="K52" s="26"/>
      <c r="L52" s="26"/>
      <c r="M52" s="26"/>
      <c r="N52" s="26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1"/>
      <c r="AL52" s="21"/>
      <c r="AM52" s="21"/>
      <c r="AN52" s="25"/>
      <c r="AO52" s="21"/>
      <c r="AP52" s="21"/>
      <c r="AQ52" s="21"/>
      <c r="AR52" s="25"/>
      <c r="AS52" s="21"/>
      <c r="AT52" s="21"/>
      <c r="AU52" s="21"/>
      <c r="AV52" s="25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3"/>
      <c r="CE52" s="21"/>
      <c r="CF52" s="21"/>
      <c r="CG52" s="21"/>
      <c r="CH52" s="23"/>
      <c r="CI52" s="21"/>
      <c r="CJ52" s="21"/>
      <c r="CK52" s="21"/>
      <c r="CL52" s="23"/>
      <c r="CM52" s="21"/>
      <c r="CN52" s="21"/>
      <c r="CO52" s="21"/>
      <c r="CP52" s="23"/>
      <c r="CQ52" s="21"/>
      <c r="CR52" s="21"/>
      <c r="CS52" s="21"/>
      <c r="CT52" s="23"/>
      <c r="CU52" s="21"/>
      <c r="CV52" s="21"/>
      <c r="CW52" s="21"/>
      <c r="CX52" s="23"/>
      <c r="CY52" s="21"/>
      <c r="CZ52" s="21"/>
      <c r="DA52" s="21"/>
      <c r="DB52" s="23"/>
      <c r="DC52" s="21"/>
      <c r="DD52" s="21"/>
      <c r="DE52" s="21"/>
      <c r="DF52" s="23"/>
      <c r="DG52" s="21"/>
      <c r="DH52" s="21"/>
      <c r="DI52" s="21"/>
      <c r="DJ52" s="23"/>
      <c r="DK52" s="21"/>
      <c r="DL52" s="21"/>
      <c r="DM52" s="21"/>
      <c r="DN52" s="23"/>
      <c r="DO52" s="21"/>
      <c r="DP52" s="21"/>
      <c r="DQ52" s="21"/>
      <c r="DR52" s="23"/>
      <c r="DS52" s="21"/>
      <c r="DT52" s="21"/>
      <c r="DU52" s="21"/>
      <c r="DV52" s="23"/>
      <c r="DW52" s="32"/>
      <c r="DX52" s="32"/>
      <c r="DY52" s="31"/>
      <c r="DZ52" s="30"/>
      <c r="EA52" s="32"/>
      <c r="EB52" s="32"/>
      <c r="EC52" s="31"/>
      <c r="ED52" s="30"/>
      <c r="EE52" s="32"/>
      <c r="EF52" s="32"/>
      <c r="EG52" s="31"/>
      <c r="EH52" s="30"/>
      <c r="EI52" s="32"/>
      <c r="EJ52" s="32"/>
      <c r="EK52" s="31"/>
      <c r="EL52" s="30"/>
      <c r="EM52" s="32"/>
      <c r="EN52" s="32"/>
      <c r="EO52" s="31"/>
      <c r="EP52" s="30"/>
      <c r="EQ52" s="32"/>
      <c r="ER52" s="32"/>
      <c r="ES52" s="31"/>
      <c r="ET52" s="30"/>
      <c r="EU52" s="32"/>
      <c r="EV52" s="32"/>
      <c r="EW52" s="31"/>
      <c r="EX52" s="30"/>
      <c r="EY52" s="32"/>
      <c r="EZ52" s="32"/>
      <c r="FA52" s="31"/>
      <c r="FB52" s="30"/>
      <c r="FC52" s="32"/>
      <c r="FD52" s="32"/>
      <c r="FE52" s="31"/>
      <c r="FF52" s="30"/>
      <c r="FG52" s="32"/>
      <c r="FH52" s="32"/>
      <c r="FI52" s="31"/>
      <c r="FJ52" s="30"/>
      <c r="FK52" s="32"/>
      <c r="FL52" s="32"/>
      <c r="FM52" s="31"/>
      <c r="FN52" s="30"/>
      <c r="FO52" s="30"/>
      <c r="FP52" s="30"/>
      <c r="FQ52" s="30"/>
      <c r="FR52" s="30"/>
      <c r="FS52" s="30"/>
      <c r="FT52" s="30"/>
      <c r="FU52" s="30"/>
      <c r="FV52" s="30"/>
      <c r="FW52" s="30"/>
      <c r="FX52" s="30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  <c r="AAA52" s="3"/>
      <c r="AAB52" s="3"/>
      <c r="AAC52" s="3"/>
      <c r="AAD52" s="3"/>
      <c r="AAE52" s="3"/>
      <c r="AAF52" s="3"/>
      <c r="AAG52" s="3"/>
      <c r="AAH52" s="3"/>
      <c r="AAI52" s="3"/>
      <c r="AAJ52" s="3"/>
      <c r="AAK52" s="3"/>
      <c r="AAL52" s="3"/>
      <c r="AAM52" s="3"/>
    </row>
    <row r="53" spans="1:715" s="2" customFormat="1" ht="50" customHeight="1">
      <c r="A53" s="8"/>
      <c r="B53" s="12"/>
      <c r="C53" s="8"/>
      <c r="D53" s="8"/>
      <c r="E53" s="8"/>
      <c r="F53" s="23"/>
      <c r="G53" s="20"/>
      <c r="H53" s="27"/>
      <c r="I53" s="28"/>
      <c r="J53" s="28"/>
      <c r="K53" s="26"/>
      <c r="L53" s="26"/>
      <c r="M53" s="26"/>
      <c r="N53" s="26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1"/>
      <c r="AL53" s="21"/>
      <c r="AM53" s="21"/>
      <c r="AN53" s="25"/>
      <c r="AO53" s="21"/>
      <c r="AP53" s="21"/>
      <c r="AQ53" s="21"/>
      <c r="AR53" s="25"/>
      <c r="AS53" s="21"/>
      <c r="AT53" s="21"/>
      <c r="AU53" s="21"/>
      <c r="AV53" s="25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3"/>
      <c r="CE53" s="21"/>
      <c r="CF53" s="21"/>
      <c r="CG53" s="21"/>
      <c r="CH53" s="23"/>
      <c r="CI53" s="21"/>
      <c r="CJ53" s="21"/>
      <c r="CK53" s="21"/>
      <c r="CL53" s="23"/>
      <c r="CM53" s="21"/>
      <c r="CN53" s="21"/>
      <c r="CO53" s="21"/>
      <c r="CP53" s="23"/>
      <c r="CQ53" s="21"/>
      <c r="CR53" s="21"/>
      <c r="CS53" s="21"/>
      <c r="CT53" s="23"/>
      <c r="CU53" s="21"/>
      <c r="CV53" s="21"/>
      <c r="CW53" s="21"/>
      <c r="CX53" s="23"/>
      <c r="CY53" s="21"/>
      <c r="CZ53" s="21"/>
      <c r="DA53" s="21"/>
      <c r="DB53" s="23"/>
      <c r="DC53" s="21"/>
      <c r="DD53" s="21"/>
      <c r="DE53" s="21"/>
      <c r="DF53" s="23"/>
      <c r="DG53" s="21"/>
      <c r="DH53" s="21"/>
      <c r="DI53" s="21"/>
      <c r="DJ53" s="23"/>
      <c r="DK53" s="21"/>
      <c r="DL53" s="21"/>
      <c r="DM53" s="21"/>
      <c r="DN53" s="23"/>
      <c r="DO53" s="21"/>
      <c r="DP53" s="21"/>
      <c r="DQ53" s="21"/>
      <c r="DR53" s="23"/>
      <c r="DS53" s="21"/>
      <c r="DT53" s="21"/>
      <c r="DU53" s="21"/>
      <c r="DV53" s="23"/>
      <c r="DW53" s="32"/>
      <c r="DX53" s="32"/>
      <c r="DY53" s="31"/>
      <c r="DZ53" s="30"/>
      <c r="EA53" s="32"/>
      <c r="EB53" s="32"/>
      <c r="EC53" s="31"/>
      <c r="ED53" s="30"/>
      <c r="EE53" s="32"/>
      <c r="EF53" s="32"/>
      <c r="EG53" s="31"/>
      <c r="EH53" s="30"/>
      <c r="EI53" s="32"/>
      <c r="EJ53" s="32"/>
      <c r="EK53" s="31"/>
      <c r="EL53" s="30"/>
      <c r="EM53" s="32"/>
      <c r="EN53" s="32"/>
      <c r="EO53" s="31"/>
      <c r="EP53" s="30"/>
      <c r="EQ53" s="32"/>
      <c r="ER53" s="32"/>
      <c r="ES53" s="31"/>
      <c r="ET53" s="30"/>
      <c r="EU53" s="32"/>
      <c r="EV53" s="32"/>
      <c r="EW53" s="31"/>
      <c r="EX53" s="30"/>
      <c r="EY53" s="32"/>
      <c r="EZ53" s="32"/>
      <c r="FA53" s="31"/>
      <c r="FB53" s="30"/>
      <c r="FC53" s="32"/>
      <c r="FD53" s="32"/>
      <c r="FE53" s="31"/>
      <c r="FF53" s="30"/>
      <c r="FG53" s="32"/>
      <c r="FH53" s="32"/>
      <c r="FI53" s="31"/>
      <c r="FJ53" s="30"/>
      <c r="FK53" s="32"/>
      <c r="FL53" s="32"/>
      <c r="FM53" s="31"/>
      <c r="FN53" s="30"/>
      <c r="FO53" s="30"/>
      <c r="FP53" s="30"/>
      <c r="FQ53" s="30"/>
      <c r="FR53" s="30"/>
      <c r="FS53" s="30"/>
      <c r="FT53" s="30"/>
      <c r="FU53" s="30"/>
      <c r="FV53" s="30"/>
      <c r="FW53" s="30"/>
      <c r="FX53" s="30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  <c r="AAA53" s="3"/>
      <c r="AAB53" s="3"/>
      <c r="AAC53" s="3"/>
      <c r="AAD53" s="3"/>
      <c r="AAE53" s="3"/>
      <c r="AAF53" s="3"/>
      <c r="AAG53" s="3"/>
      <c r="AAH53" s="3"/>
      <c r="AAI53" s="3"/>
      <c r="AAJ53" s="3"/>
      <c r="AAK53" s="3"/>
      <c r="AAL53" s="3"/>
      <c r="AAM53" s="3"/>
    </row>
    <row r="54" spans="1:715" s="2" customFormat="1" ht="50" customHeight="1">
      <c r="A54" s="8"/>
      <c r="B54" s="12"/>
      <c r="C54" s="8"/>
      <c r="D54" s="8"/>
      <c r="E54" s="8"/>
      <c r="F54" s="23"/>
      <c r="G54" s="20"/>
      <c r="H54" s="27"/>
      <c r="I54" s="28"/>
      <c r="J54" s="28"/>
      <c r="K54" s="26"/>
      <c r="L54" s="26"/>
      <c r="M54" s="26"/>
      <c r="N54" s="26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3"/>
      <c r="DH54" s="23"/>
      <c r="DI54" s="23"/>
      <c r="DJ54" s="23"/>
      <c r="DK54" s="23"/>
      <c r="DL54" s="23"/>
      <c r="DM54" s="23"/>
      <c r="DN54" s="23"/>
      <c r="DO54" s="23"/>
      <c r="DP54" s="23"/>
      <c r="DQ54" s="23"/>
      <c r="DR54" s="23"/>
      <c r="DS54" s="23"/>
      <c r="DT54" s="23"/>
      <c r="DU54" s="23"/>
      <c r="DV54" s="23"/>
      <c r="DW54" s="30"/>
      <c r="DX54" s="3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  <c r="FA54" s="30"/>
      <c r="FB54" s="30"/>
      <c r="FC54" s="30"/>
      <c r="FD54" s="30"/>
      <c r="FE54" s="30"/>
      <c r="FF54" s="30"/>
      <c r="FG54" s="30"/>
      <c r="FH54" s="30"/>
      <c r="FI54" s="30"/>
      <c r="FJ54" s="30"/>
      <c r="FK54" s="30"/>
      <c r="FL54" s="30"/>
      <c r="FM54" s="30"/>
      <c r="FN54" s="30"/>
      <c r="FO54" s="30"/>
      <c r="FP54" s="30"/>
      <c r="FQ54" s="30"/>
      <c r="FR54" s="30"/>
      <c r="FS54" s="30"/>
      <c r="FT54" s="30"/>
      <c r="FU54" s="30"/>
      <c r="FV54" s="30"/>
      <c r="FW54" s="30"/>
      <c r="FX54" s="30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  <c r="AAA54" s="3"/>
      <c r="AAB54" s="3"/>
      <c r="AAC54" s="3"/>
      <c r="AAD54" s="3"/>
      <c r="AAE54" s="3"/>
      <c r="AAF54" s="3"/>
      <c r="AAG54" s="3"/>
      <c r="AAH54" s="3"/>
      <c r="AAI54" s="3"/>
      <c r="AAJ54" s="3"/>
      <c r="AAK54" s="3"/>
      <c r="AAL54" s="3"/>
      <c r="AAM54" s="3"/>
    </row>
    <row r="55" spans="1:715" s="2" customFormat="1" ht="50" customHeight="1">
      <c r="A55" s="8"/>
      <c r="B55" s="12"/>
      <c r="C55" s="8"/>
      <c r="D55" s="8"/>
      <c r="E55" s="8"/>
      <c r="F55" s="23"/>
      <c r="G55" s="20"/>
      <c r="H55" s="27"/>
      <c r="I55" s="28"/>
      <c r="J55" s="28"/>
      <c r="K55" s="26"/>
      <c r="L55" s="26"/>
      <c r="M55" s="26"/>
      <c r="N55" s="26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5"/>
      <c r="AY55" s="25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  <c r="DH55" s="23"/>
      <c r="DI55" s="23"/>
      <c r="DJ55" s="23"/>
      <c r="DK55" s="23"/>
      <c r="DL55" s="23"/>
      <c r="DM55" s="23"/>
      <c r="DN55" s="23"/>
      <c r="DO55" s="23"/>
      <c r="DP55" s="23"/>
      <c r="DQ55" s="23"/>
      <c r="DR55" s="23"/>
      <c r="DS55" s="23"/>
      <c r="DT55" s="23"/>
      <c r="DU55" s="23"/>
      <c r="DV55" s="23"/>
      <c r="DW55" s="30"/>
      <c r="DX55" s="30"/>
      <c r="DY55" s="30"/>
      <c r="DZ55" s="30"/>
      <c r="EA55" s="30"/>
      <c r="EB55" s="30"/>
      <c r="EC55" s="30"/>
      <c r="ED55" s="30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  <c r="FA55" s="30"/>
      <c r="FB55" s="30"/>
      <c r="FC55" s="30"/>
      <c r="FD55" s="30"/>
      <c r="FE55" s="30"/>
      <c r="FF55" s="30"/>
      <c r="FG55" s="30"/>
      <c r="FH55" s="30"/>
      <c r="FI55" s="30"/>
      <c r="FJ55" s="30"/>
      <c r="FK55" s="30"/>
      <c r="FL55" s="30"/>
      <c r="FM55" s="30"/>
      <c r="FN55" s="30"/>
      <c r="FO55" s="30"/>
      <c r="FP55" s="30"/>
      <c r="FQ55" s="30"/>
      <c r="FR55" s="30"/>
      <c r="FS55" s="30"/>
      <c r="FT55" s="30"/>
      <c r="FU55" s="30"/>
      <c r="FV55" s="30"/>
      <c r="FW55" s="30"/>
      <c r="FX55" s="30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  <c r="AAA55" s="3"/>
      <c r="AAB55" s="3"/>
      <c r="AAC55" s="3"/>
      <c r="AAD55" s="3"/>
      <c r="AAE55" s="3"/>
      <c r="AAF55" s="3"/>
      <c r="AAG55" s="3"/>
      <c r="AAH55" s="3"/>
      <c r="AAI55" s="3"/>
      <c r="AAJ55" s="3"/>
      <c r="AAK55" s="3"/>
      <c r="AAL55" s="3"/>
      <c r="AAM55" s="3"/>
    </row>
    <row r="56" spans="1:715" s="2" customFormat="1" ht="50" customHeight="1">
      <c r="A56" s="8"/>
      <c r="B56" s="12"/>
      <c r="C56" s="8"/>
      <c r="D56" s="8"/>
      <c r="E56" s="8"/>
      <c r="F56" s="23"/>
      <c r="G56" s="20"/>
      <c r="H56" s="27"/>
      <c r="I56" s="28"/>
      <c r="J56" s="28"/>
      <c r="K56" s="26"/>
      <c r="L56" s="26"/>
      <c r="M56" s="26"/>
      <c r="N56" s="26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1"/>
      <c r="AT56" s="21"/>
      <c r="AU56" s="21"/>
      <c r="AV56" s="23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3"/>
      <c r="CE56" s="21"/>
      <c r="CF56" s="21"/>
      <c r="CG56" s="21"/>
      <c r="CH56" s="23"/>
      <c r="CI56" s="21"/>
      <c r="CJ56" s="21"/>
      <c r="CK56" s="21"/>
      <c r="CL56" s="23"/>
      <c r="CM56" s="21"/>
      <c r="CN56" s="21"/>
      <c r="CO56" s="21"/>
      <c r="CP56" s="23"/>
      <c r="CQ56" s="21"/>
      <c r="CR56" s="21"/>
      <c r="CS56" s="21"/>
      <c r="CT56" s="23"/>
      <c r="CU56" s="21"/>
      <c r="CV56" s="21"/>
      <c r="CW56" s="21"/>
      <c r="CX56" s="23"/>
      <c r="CY56" s="21"/>
      <c r="CZ56" s="21"/>
      <c r="DA56" s="21"/>
      <c r="DB56" s="23"/>
      <c r="DC56" s="21"/>
      <c r="DD56" s="21"/>
      <c r="DE56" s="21"/>
      <c r="DF56" s="23"/>
      <c r="DG56" s="21"/>
      <c r="DH56" s="21"/>
      <c r="DI56" s="21"/>
      <c r="DJ56" s="23"/>
      <c r="DK56" s="21"/>
      <c r="DL56" s="21"/>
      <c r="DM56" s="21"/>
      <c r="DN56" s="23"/>
      <c r="DO56" s="21"/>
      <c r="DP56" s="21"/>
      <c r="DQ56" s="21"/>
      <c r="DR56" s="23"/>
      <c r="DS56" s="21"/>
      <c r="DT56" s="21"/>
      <c r="DU56" s="21"/>
      <c r="DV56" s="23"/>
      <c r="DW56" s="32"/>
      <c r="DX56" s="32"/>
      <c r="DY56" s="31"/>
      <c r="DZ56" s="30"/>
      <c r="EA56" s="32"/>
      <c r="EB56" s="32"/>
      <c r="EC56" s="31"/>
      <c r="ED56" s="30"/>
      <c r="EE56" s="32"/>
      <c r="EF56" s="32"/>
      <c r="EG56" s="31"/>
      <c r="EH56" s="30"/>
      <c r="EI56" s="32"/>
      <c r="EJ56" s="32"/>
      <c r="EK56" s="31"/>
      <c r="EL56" s="30"/>
      <c r="EM56" s="32"/>
      <c r="EN56" s="32"/>
      <c r="EO56" s="31"/>
      <c r="EP56" s="30"/>
      <c r="EQ56" s="32"/>
      <c r="ER56" s="32"/>
      <c r="ES56" s="31"/>
      <c r="ET56" s="30"/>
      <c r="EU56" s="32"/>
      <c r="EV56" s="32"/>
      <c r="EW56" s="31"/>
      <c r="EX56" s="30"/>
      <c r="EY56" s="32"/>
      <c r="EZ56" s="32"/>
      <c r="FA56" s="31"/>
      <c r="FB56" s="30"/>
      <c r="FC56" s="32"/>
      <c r="FD56" s="32"/>
      <c r="FE56" s="31"/>
      <c r="FF56" s="30"/>
      <c r="FG56" s="32"/>
      <c r="FH56" s="32"/>
      <c r="FI56" s="31"/>
      <c r="FJ56" s="30"/>
      <c r="FK56" s="32"/>
      <c r="FL56" s="32"/>
      <c r="FM56" s="31"/>
      <c r="FN56" s="30"/>
      <c r="FO56" s="30"/>
      <c r="FP56" s="30"/>
      <c r="FQ56" s="30"/>
      <c r="FR56" s="30"/>
      <c r="FS56" s="30"/>
      <c r="FT56" s="30"/>
      <c r="FU56" s="30"/>
      <c r="FV56" s="30"/>
      <c r="FW56" s="30"/>
      <c r="FX56" s="30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  <c r="AAA56" s="3"/>
      <c r="AAB56" s="3"/>
      <c r="AAC56" s="3"/>
      <c r="AAD56" s="3"/>
      <c r="AAE56" s="3"/>
      <c r="AAF56" s="3"/>
      <c r="AAG56" s="3"/>
      <c r="AAH56" s="3"/>
      <c r="AAI56" s="3"/>
      <c r="AAJ56" s="3"/>
      <c r="AAK56" s="3"/>
      <c r="AAL56" s="3"/>
      <c r="AAM56" s="3"/>
    </row>
    <row r="57" spans="1:715" s="2" customFormat="1" ht="50" customHeight="1">
      <c r="A57" s="8"/>
      <c r="B57" s="12"/>
      <c r="C57" s="8"/>
      <c r="D57" s="8"/>
      <c r="E57" s="8"/>
      <c r="F57" s="23"/>
      <c r="G57" s="20"/>
      <c r="H57" s="27"/>
      <c r="I57" s="28"/>
      <c r="J57" s="28"/>
      <c r="K57" s="26"/>
      <c r="L57" s="26"/>
      <c r="M57" s="26"/>
      <c r="N57" s="26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1"/>
      <c r="AT57" s="21"/>
      <c r="AU57" s="21"/>
      <c r="AV57" s="23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3"/>
      <c r="CE57" s="21"/>
      <c r="CF57" s="21"/>
      <c r="CG57" s="21"/>
      <c r="CH57" s="23"/>
      <c r="CI57" s="21"/>
      <c r="CJ57" s="21"/>
      <c r="CK57" s="21"/>
      <c r="CL57" s="23"/>
      <c r="CM57" s="21"/>
      <c r="CN57" s="21"/>
      <c r="CO57" s="21"/>
      <c r="CP57" s="23"/>
      <c r="CQ57" s="21"/>
      <c r="CR57" s="21"/>
      <c r="CS57" s="21"/>
      <c r="CT57" s="23"/>
      <c r="CU57" s="21"/>
      <c r="CV57" s="21"/>
      <c r="CW57" s="21"/>
      <c r="CX57" s="23"/>
      <c r="CY57" s="21"/>
      <c r="CZ57" s="21"/>
      <c r="DA57" s="21"/>
      <c r="DB57" s="23"/>
      <c r="DC57" s="21"/>
      <c r="DD57" s="21"/>
      <c r="DE57" s="21"/>
      <c r="DF57" s="23"/>
      <c r="DG57" s="21"/>
      <c r="DH57" s="21"/>
      <c r="DI57" s="21"/>
      <c r="DJ57" s="23"/>
      <c r="DK57" s="21"/>
      <c r="DL57" s="21"/>
      <c r="DM57" s="21"/>
      <c r="DN57" s="23"/>
      <c r="DO57" s="21"/>
      <c r="DP57" s="21"/>
      <c r="DQ57" s="21"/>
      <c r="DR57" s="23"/>
      <c r="DS57" s="21"/>
      <c r="DT57" s="21"/>
      <c r="DU57" s="21"/>
      <c r="DV57" s="23"/>
      <c r="DW57" s="32"/>
      <c r="DX57" s="32"/>
      <c r="DY57" s="31"/>
      <c r="DZ57" s="30"/>
      <c r="EA57" s="32"/>
      <c r="EB57" s="32"/>
      <c r="EC57" s="31"/>
      <c r="ED57" s="30"/>
      <c r="EE57" s="32"/>
      <c r="EF57" s="32"/>
      <c r="EG57" s="31"/>
      <c r="EH57" s="30"/>
      <c r="EI57" s="32"/>
      <c r="EJ57" s="32"/>
      <c r="EK57" s="31"/>
      <c r="EL57" s="30"/>
      <c r="EM57" s="32"/>
      <c r="EN57" s="32"/>
      <c r="EO57" s="31"/>
      <c r="EP57" s="30"/>
      <c r="EQ57" s="32"/>
      <c r="ER57" s="32"/>
      <c r="ES57" s="31"/>
      <c r="ET57" s="30"/>
      <c r="EU57" s="32"/>
      <c r="EV57" s="32"/>
      <c r="EW57" s="31"/>
      <c r="EX57" s="30"/>
      <c r="EY57" s="32"/>
      <c r="EZ57" s="32"/>
      <c r="FA57" s="31"/>
      <c r="FB57" s="30"/>
      <c r="FC57" s="32"/>
      <c r="FD57" s="32"/>
      <c r="FE57" s="31"/>
      <c r="FF57" s="30"/>
      <c r="FG57" s="32"/>
      <c r="FH57" s="32"/>
      <c r="FI57" s="31"/>
      <c r="FJ57" s="30"/>
      <c r="FK57" s="32"/>
      <c r="FL57" s="32"/>
      <c r="FM57" s="31"/>
      <c r="FN57" s="30"/>
      <c r="FO57" s="30"/>
      <c r="FP57" s="30"/>
      <c r="FQ57" s="30"/>
      <c r="FR57" s="30"/>
      <c r="FS57" s="30"/>
      <c r="FT57" s="30"/>
      <c r="FU57" s="30"/>
      <c r="FV57" s="30"/>
      <c r="FW57" s="30"/>
      <c r="FX57" s="30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  <c r="AAA57" s="3"/>
      <c r="AAB57" s="3"/>
      <c r="AAC57" s="3"/>
      <c r="AAD57" s="3"/>
      <c r="AAE57" s="3"/>
      <c r="AAF57" s="3"/>
      <c r="AAG57" s="3"/>
      <c r="AAH57" s="3"/>
      <c r="AAI57" s="3"/>
      <c r="AAJ57" s="3"/>
      <c r="AAK57" s="3"/>
      <c r="AAL57" s="3"/>
      <c r="AAM57" s="3"/>
    </row>
    <row r="58" spans="1:715" s="2" customFormat="1" ht="50" customHeight="1">
      <c r="A58" s="8"/>
      <c r="B58" s="12"/>
      <c r="C58" s="8"/>
      <c r="D58" s="8"/>
      <c r="E58" s="8"/>
      <c r="F58" s="23"/>
      <c r="G58" s="20"/>
      <c r="H58" s="27"/>
      <c r="I58" s="28"/>
      <c r="J58" s="28"/>
      <c r="K58" s="26"/>
      <c r="L58" s="26"/>
      <c r="M58" s="26"/>
      <c r="N58" s="26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3"/>
      <c r="DH58" s="23"/>
      <c r="DI58" s="23"/>
      <c r="DJ58" s="23"/>
      <c r="DK58" s="23"/>
      <c r="DL58" s="23"/>
      <c r="DM58" s="23"/>
      <c r="DN58" s="23"/>
      <c r="DO58" s="23"/>
      <c r="DP58" s="23"/>
      <c r="DQ58" s="23"/>
      <c r="DR58" s="23"/>
      <c r="DS58" s="23"/>
      <c r="DT58" s="23"/>
      <c r="DU58" s="23"/>
      <c r="DV58" s="23"/>
      <c r="DW58" s="30"/>
      <c r="DX58" s="30"/>
      <c r="DY58" s="30"/>
      <c r="DZ58" s="30"/>
      <c r="EA58" s="30"/>
      <c r="EB58" s="30"/>
      <c r="EC58" s="30"/>
      <c r="ED58" s="30"/>
      <c r="EE58" s="30"/>
      <c r="EF58" s="30"/>
      <c r="EG58" s="30"/>
      <c r="EH58" s="30"/>
      <c r="EI58" s="30"/>
      <c r="EJ58" s="30"/>
      <c r="EK58" s="30"/>
      <c r="EL58" s="30"/>
      <c r="EM58" s="30"/>
      <c r="EN58" s="30"/>
      <c r="EO58" s="30"/>
      <c r="EP58" s="30"/>
      <c r="EQ58" s="30"/>
      <c r="ER58" s="30"/>
      <c r="ES58" s="30"/>
      <c r="ET58" s="30"/>
      <c r="EU58" s="30"/>
      <c r="EV58" s="30"/>
      <c r="EW58" s="30"/>
      <c r="EX58" s="30"/>
      <c r="EY58" s="30"/>
      <c r="EZ58" s="30"/>
      <c r="FA58" s="30"/>
      <c r="FB58" s="30"/>
      <c r="FC58" s="30"/>
      <c r="FD58" s="30"/>
      <c r="FE58" s="30"/>
      <c r="FF58" s="30"/>
      <c r="FG58" s="30"/>
      <c r="FH58" s="30"/>
      <c r="FI58" s="30"/>
      <c r="FJ58" s="30"/>
      <c r="FK58" s="30"/>
      <c r="FL58" s="30"/>
      <c r="FM58" s="30"/>
      <c r="FN58" s="30"/>
      <c r="FO58" s="30"/>
      <c r="FP58" s="30"/>
      <c r="FQ58" s="30"/>
      <c r="FR58" s="30"/>
      <c r="FS58" s="30"/>
      <c r="FT58" s="30"/>
      <c r="FU58" s="30"/>
      <c r="FV58" s="30"/>
      <c r="FW58" s="30"/>
      <c r="FX58" s="30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  <c r="AAA58" s="3"/>
      <c r="AAB58" s="3"/>
      <c r="AAC58" s="3"/>
      <c r="AAD58" s="3"/>
      <c r="AAE58" s="3"/>
      <c r="AAF58" s="3"/>
      <c r="AAG58" s="3"/>
      <c r="AAH58" s="3"/>
      <c r="AAI58" s="3"/>
      <c r="AAJ58" s="3"/>
      <c r="AAK58" s="3"/>
      <c r="AAL58" s="3"/>
      <c r="AAM58" s="3"/>
    </row>
    <row r="59" spans="1:715" s="2" customFormat="1" ht="50" customHeight="1">
      <c r="A59" s="8"/>
      <c r="B59" s="12"/>
      <c r="C59" s="8"/>
      <c r="D59" s="8"/>
      <c r="E59" s="8"/>
      <c r="F59" s="23"/>
      <c r="G59" s="20"/>
      <c r="H59" s="27"/>
      <c r="I59" s="28"/>
      <c r="J59" s="28"/>
      <c r="K59" s="26"/>
      <c r="L59" s="26"/>
      <c r="M59" s="26"/>
      <c r="N59" s="26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5"/>
      <c r="AY59" s="25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3"/>
      <c r="DH59" s="23"/>
      <c r="DI59" s="23"/>
      <c r="DJ59" s="23"/>
      <c r="DK59" s="23"/>
      <c r="DL59" s="23"/>
      <c r="DM59" s="23"/>
      <c r="DN59" s="23"/>
      <c r="DO59" s="23"/>
      <c r="DP59" s="23"/>
      <c r="DQ59" s="23"/>
      <c r="DR59" s="23"/>
      <c r="DS59" s="23"/>
      <c r="DT59" s="23"/>
      <c r="DU59" s="23"/>
      <c r="DV59" s="23"/>
      <c r="DW59" s="30"/>
      <c r="DX59" s="3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30"/>
      <c r="EM59" s="30"/>
      <c r="EN59" s="30"/>
      <c r="EO59" s="30"/>
      <c r="EP59" s="30"/>
      <c r="EQ59" s="30"/>
      <c r="ER59" s="30"/>
      <c r="ES59" s="30"/>
      <c r="ET59" s="30"/>
      <c r="EU59" s="30"/>
      <c r="EV59" s="30"/>
      <c r="EW59" s="30"/>
      <c r="EX59" s="30"/>
      <c r="EY59" s="30"/>
      <c r="EZ59" s="30"/>
      <c r="FA59" s="30"/>
      <c r="FB59" s="30"/>
      <c r="FC59" s="30"/>
      <c r="FD59" s="30"/>
      <c r="FE59" s="30"/>
      <c r="FF59" s="30"/>
      <c r="FG59" s="30"/>
      <c r="FH59" s="30"/>
      <c r="FI59" s="30"/>
      <c r="FJ59" s="30"/>
      <c r="FK59" s="30"/>
      <c r="FL59" s="30"/>
      <c r="FM59" s="30"/>
      <c r="FN59" s="30"/>
      <c r="FO59" s="30"/>
      <c r="FP59" s="30"/>
      <c r="FQ59" s="30"/>
      <c r="FR59" s="30"/>
      <c r="FS59" s="30"/>
      <c r="FT59" s="30"/>
      <c r="FU59" s="30"/>
      <c r="FV59" s="30"/>
      <c r="FW59" s="30"/>
      <c r="FX59" s="30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  <c r="AAA59" s="3"/>
      <c r="AAB59" s="3"/>
      <c r="AAC59" s="3"/>
      <c r="AAD59" s="3"/>
      <c r="AAE59" s="3"/>
      <c r="AAF59" s="3"/>
      <c r="AAG59" s="3"/>
      <c r="AAH59" s="3"/>
      <c r="AAI59" s="3"/>
      <c r="AAJ59" s="3"/>
      <c r="AAK59" s="3"/>
      <c r="AAL59" s="3"/>
      <c r="AAM59" s="3"/>
    </row>
    <row r="60" spans="1:715" s="2" customFormat="1" ht="50" customHeight="1">
      <c r="A60" s="8"/>
      <c r="B60" s="12"/>
      <c r="C60" s="8"/>
      <c r="D60" s="8"/>
      <c r="E60" s="8"/>
      <c r="F60" s="23"/>
      <c r="G60" s="20"/>
      <c r="H60" s="27"/>
      <c r="I60" s="28"/>
      <c r="J60" s="28"/>
      <c r="K60" s="26"/>
      <c r="L60" s="26"/>
      <c r="M60" s="26"/>
      <c r="N60" s="26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1"/>
      <c r="AT60" s="21"/>
      <c r="AU60" s="21"/>
      <c r="AV60" s="23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3"/>
      <c r="CE60" s="21"/>
      <c r="CF60" s="21"/>
      <c r="CG60" s="21"/>
      <c r="CH60" s="23"/>
      <c r="CI60" s="21"/>
      <c r="CJ60" s="21"/>
      <c r="CK60" s="21"/>
      <c r="CL60" s="23"/>
      <c r="CM60" s="21"/>
      <c r="CN60" s="21"/>
      <c r="CO60" s="21"/>
      <c r="CP60" s="23"/>
      <c r="CQ60" s="21"/>
      <c r="CR60" s="21"/>
      <c r="CS60" s="21"/>
      <c r="CT60" s="23"/>
      <c r="CU60" s="21"/>
      <c r="CV60" s="21"/>
      <c r="CW60" s="21"/>
      <c r="CX60" s="23"/>
      <c r="CY60" s="21"/>
      <c r="CZ60" s="21"/>
      <c r="DA60" s="21"/>
      <c r="DB60" s="23"/>
      <c r="DC60" s="21"/>
      <c r="DD60" s="21"/>
      <c r="DE60" s="21"/>
      <c r="DF60" s="23"/>
      <c r="DG60" s="21"/>
      <c r="DH60" s="21"/>
      <c r="DI60" s="21"/>
      <c r="DJ60" s="23"/>
      <c r="DK60" s="21"/>
      <c r="DL60" s="21"/>
      <c r="DM60" s="21"/>
      <c r="DN60" s="23"/>
      <c r="DO60" s="21"/>
      <c r="DP60" s="21"/>
      <c r="DQ60" s="21"/>
      <c r="DR60" s="23"/>
      <c r="DS60" s="21"/>
      <c r="DT60" s="21"/>
      <c r="DU60" s="21"/>
      <c r="DV60" s="23"/>
      <c r="DW60" s="32"/>
      <c r="DX60" s="32"/>
      <c r="DY60" s="31"/>
      <c r="DZ60" s="30"/>
      <c r="EA60" s="32"/>
      <c r="EB60" s="32"/>
      <c r="EC60" s="31"/>
      <c r="ED60" s="30"/>
      <c r="EE60" s="32"/>
      <c r="EF60" s="32"/>
      <c r="EG60" s="31"/>
      <c r="EH60" s="30"/>
      <c r="EI60" s="32"/>
      <c r="EJ60" s="32"/>
      <c r="EK60" s="31"/>
      <c r="EL60" s="30"/>
      <c r="EM60" s="32"/>
      <c r="EN60" s="32"/>
      <c r="EO60" s="31"/>
      <c r="EP60" s="30"/>
      <c r="EQ60" s="32"/>
      <c r="ER60" s="32"/>
      <c r="ES60" s="31"/>
      <c r="ET60" s="30"/>
      <c r="EU60" s="32"/>
      <c r="EV60" s="32"/>
      <c r="EW60" s="31"/>
      <c r="EX60" s="30"/>
      <c r="EY60" s="32"/>
      <c r="EZ60" s="32"/>
      <c r="FA60" s="31"/>
      <c r="FB60" s="30"/>
      <c r="FC60" s="32"/>
      <c r="FD60" s="32"/>
      <c r="FE60" s="31"/>
      <c r="FF60" s="30"/>
      <c r="FG60" s="32"/>
      <c r="FH60" s="32"/>
      <c r="FI60" s="31"/>
      <c r="FJ60" s="30"/>
      <c r="FK60" s="32"/>
      <c r="FL60" s="32"/>
      <c r="FM60" s="31"/>
      <c r="FN60" s="30"/>
      <c r="FO60" s="30"/>
      <c r="FP60" s="30"/>
      <c r="FQ60" s="30"/>
      <c r="FR60" s="30"/>
      <c r="FS60" s="30"/>
      <c r="FT60" s="30"/>
      <c r="FU60" s="30"/>
      <c r="FV60" s="30"/>
      <c r="FW60" s="30"/>
      <c r="FX60" s="30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  <c r="AAA60" s="3"/>
      <c r="AAB60" s="3"/>
      <c r="AAC60" s="3"/>
      <c r="AAD60" s="3"/>
      <c r="AAE60" s="3"/>
      <c r="AAF60" s="3"/>
      <c r="AAG60" s="3"/>
      <c r="AAH60" s="3"/>
      <c r="AAI60" s="3"/>
      <c r="AAJ60" s="3"/>
      <c r="AAK60" s="3"/>
      <c r="AAL60" s="3"/>
      <c r="AAM60" s="3"/>
    </row>
    <row r="61" spans="1:715" s="2" customFormat="1" ht="50" customHeight="1">
      <c r="A61" s="8"/>
      <c r="B61" s="12"/>
      <c r="C61" s="8"/>
      <c r="D61" s="8"/>
      <c r="E61" s="8"/>
      <c r="F61" s="23"/>
      <c r="G61" s="20"/>
      <c r="H61" s="27"/>
      <c r="I61" s="28"/>
      <c r="J61" s="28"/>
      <c r="K61" s="26"/>
      <c r="L61" s="26"/>
      <c r="M61" s="26"/>
      <c r="N61" s="26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1"/>
      <c r="AT61" s="21"/>
      <c r="AU61" s="21"/>
      <c r="AV61" s="23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3"/>
      <c r="CE61" s="21"/>
      <c r="CF61" s="21"/>
      <c r="CG61" s="21"/>
      <c r="CH61" s="23"/>
      <c r="CI61" s="21"/>
      <c r="CJ61" s="21"/>
      <c r="CK61" s="21"/>
      <c r="CL61" s="23"/>
      <c r="CM61" s="21"/>
      <c r="CN61" s="21"/>
      <c r="CO61" s="21"/>
      <c r="CP61" s="23"/>
      <c r="CQ61" s="21"/>
      <c r="CR61" s="21"/>
      <c r="CS61" s="21"/>
      <c r="CT61" s="23"/>
      <c r="CU61" s="21"/>
      <c r="CV61" s="21"/>
      <c r="CW61" s="21"/>
      <c r="CX61" s="23"/>
      <c r="CY61" s="21"/>
      <c r="CZ61" s="21"/>
      <c r="DA61" s="21"/>
      <c r="DB61" s="23"/>
      <c r="DC61" s="21"/>
      <c r="DD61" s="21"/>
      <c r="DE61" s="21"/>
      <c r="DF61" s="23"/>
      <c r="DG61" s="21"/>
      <c r="DH61" s="21"/>
      <c r="DI61" s="21"/>
      <c r="DJ61" s="23"/>
      <c r="DK61" s="21"/>
      <c r="DL61" s="21"/>
      <c r="DM61" s="21"/>
      <c r="DN61" s="23"/>
      <c r="DO61" s="21"/>
      <c r="DP61" s="21"/>
      <c r="DQ61" s="21"/>
      <c r="DR61" s="23"/>
      <c r="DS61" s="21"/>
      <c r="DT61" s="21"/>
      <c r="DU61" s="21"/>
      <c r="DV61" s="23"/>
      <c r="DW61" s="32"/>
      <c r="DX61" s="32"/>
      <c r="DY61" s="31"/>
      <c r="DZ61" s="30"/>
      <c r="EA61" s="32"/>
      <c r="EB61" s="32"/>
      <c r="EC61" s="31"/>
      <c r="ED61" s="30"/>
      <c r="EE61" s="32"/>
      <c r="EF61" s="32"/>
      <c r="EG61" s="31"/>
      <c r="EH61" s="30"/>
      <c r="EI61" s="32"/>
      <c r="EJ61" s="32"/>
      <c r="EK61" s="31"/>
      <c r="EL61" s="30"/>
      <c r="EM61" s="32"/>
      <c r="EN61" s="32"/>
      <c r="EO61" s="31"/>
      <c r="EP61" s="30"/>
      <c r="EQ61" s="32"/>
      <c r="ER61" s="32"/>
      <c r="ES61" s="31"/>
      <c r="ET61" s="30"/>
      <c r="EU61" s="32"/>
      <c r="EV61" s="32"/>
      <c r="EW61" s="31"/>
      <c r="EX61" s="30"/>
      <c r="EY61" s="32"/>
      <c r="EZ61" s="32"/>
      <c r="FA61" s="31"/>
      <c r="FB61" s="30"/>
      <c r="FC61" s="32"/>
      <c r="FD61" s="32"/>
      <c r="FE61" s="31"/>
      <c r="FF61" s="30"/>
      <c r="FG61" s="32"/>
      <c r="FH61" s="32"/>
      <c r="FI61" s="31"/>
      <c r="FJ61" s="30"/>
      <c r="FK61" s="32"/>
      <c r="FL61" s="32"/>
      <c r="FM61" s="31"/>
      <c r="FN61" s="30"/>
      <c r="FO61" s="30"/>
      <c r="FP61" s="30"/>
      <c r="FQ61" s="30"/>
      <c r="FR61" s="30"/>
      <c r="FS61" s="30"/>
      <c r="FT61" s="30"/>
      <c r="FU61" s="30"/>
      <c r="FV61" s="30"/>
      <c r="FW61" s="30"/>
      <c r="FX61" s="30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  <c r="AAA61" s="3"/>
      <c r="AAB61" s="3"/>
      <c r="AAC61" s="3"/>
      <c r="AAD61" s="3"/>
      <c r="AAE61" s="3"/>
      <c r="AAF61" s="3"/>
      <c r="AAG61" s="3"/>
      <c r="AAH61" s="3"/>
      <c r="AAI61" s="3"/>
      <c r="AAJ61" s="3"/>
      <c r="AAK61" s="3"/>
      <c r="AAL61" s="3"/>
      <c r="AAM61" s="3"/>
    </row>
    <row r="62" spans="1:715" s="2" customFormat="1" ht="50" customHeight="1">
      <c r="A62" s="8"/>
      <c r="B62" s="12"/>
      <c r="C62" s="8"/>
      <c r="D62" s="8"/>
      <c r="E62" s="8"/>
      <c r="F62" s="23"/>
      <c r="G62" s="20"/>
      <c r="H62" s="27"/>
      <c r="I62" s="28"/>
      <c r="J62" s="28"/>
      <c r="K62" s="26"/>
      <c r="L62" s="26"/>
      <c r="M62" s="26"/>
      <c r="N62" s="26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3"/>
      <c r="DH62" s="23"/>
      <c r="DI62" s="23"/>
      <c r="DJ62" s="23"/>
      <c r="DK62" s="23"/>
      <c r="DL62" s="23"/>
      <c r="DM62" s="23"/>
      <c r="DN62" s="23"/>
      <c r="DO62" s="23"/>
      <c r="DP62" s="23"/>
      <c r="DQ62" s="23"/>
      <c r="DR62" s="23"/>
      <c r="DS62" s="23"/>
      <c r="DT62" s="23"/>
      <c r="DU62" s="23"/>
      <c r="DV62" s="23"/>
      <c r="DW62" s="30"/>
      <c r="DX62" s="30"/>
      <c r="DY62" s="30"/>
      <c r="DZ62" s="30"/>
      <c r="EA62" s="30"/>
      <c r="EB62" s="30"/>
      <c r="EC62" s="30"/>
      <c r="ED62" s="30"/>
      <c r="EE62" s="30"/>
      <c r="EF62" s="30"/>
      <c r="EG62" s="30"/>
      <c r="EH62" s="30"/>
      <c r="EI62" s="30"/>
      <c r="EJ62" s="30"/>
      <c r="EK62" s="30"/>
      <c r="EL62" s="30"/>
      <c r="EM62" s="30"/>
      <c r="EN62" s="30"/>
      <c r="EO62" s="30"/>
      <c r="EP62" s="30"/>
      <c r="EQ62" s="30"/>
      <c r="ER62" s="30"/>
      <c r="ES62" s="30"/>
      <c r="ET62" s="30"/>
      <c r="EU62" s="30"/>
      <c r="EV62" s="30"/>
      <c r="EW62" s="30"/>
      <c r="EX62" s="30"/>
      <c r="EY62" s="30"/>
      <c r="EZ62" s="30"/>
      <c r="FA62" s="30"/>
      <c r="FB62" s="30"/>
      <c r="FC62" s="30"/>
      <c r="FD62" s="30"/>
      <c r="FE62" s="30"/>
      <c r="FF62" s="30"/>
      <c r="FG62" s="30"/>
      <c r="FH62" s="30"/>
      <c r="FI62" s="30"/>
      <c r="FJ62" s="30"/>
      <c r="FK62" s="30"/>
      <c r="FL62" s="30"/>
      <c r="FM62" s="30"/>
      <c r="FN62" s="30"/>
      <c r="FO62" s="30"/>
      <c r="FP62" s="30"/>
      <c r="FQ62" s="30"/>
      <c r="FR62" s="30"/>
      <c r="FS62" s="30"/>
      <c r="FT62" s="30"/>
      <c r="FU62" s="30"/>
      <c r="FV62" s="30"/>
      <c r="FW62" s="30"/>
      <c r="FX62" s="30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  <c r="AAA62" s="3"/>
      <c r="AAB62" s="3"/>
      <c r="AAC62" s="3"/>
      <c r="AAD62" s="3"/>
      <c r="AAE62" s="3"/>
      <c r="AAF62" s="3"/>
      <c r="AAG62" s="3"/>
      <c r="AAH62" s="3"/>
      <c r="AAI62" s="3"/>
      <c r="AAJ62" s="3"/>
      <c r="AAK62" s="3"/>
      <c r="AAL62" s="3"/>
      <c r="AAM62" s="3"/>
    </row>
    <row r="63" spans="1:715" s="2" customFormat="1" ht="50" customHeight="1">
      <c r="A63" s="8"/>
      <c r="B63" s="12"/>
      <c r="C63" s="8"/>
      <c r="D63" s="8"/>
      <c r="E63" s="8"/>
      <c r="F63" s="23"/>
      <c r="G63" s="20"/>
      <c r="H63" s="27"/>
      <c r="I63" s="28"/>
      <c r="J63" s="28"/>
      <c r="K63" s="26"/>
      <c r="L63" s="26"/>
      <c r="M63" s="26"/>
      <c r="N63" s="26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5"/>
      <c r="AY63" s="25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  <c r="DH63" s="23"/>
      <c r="DI63" s="23"/>
      <c r="DJ63" s="23"/>
      <c r="DK63" s="23"/>
      <c r="DL63" s="23"/>
      <c r="DM63" s="23"/>
      <c r="DN63" s="23"/>
      <c r="DO63" s="23"/>
      <c r="DP63" s="23"/>
      <c r="DQ63" s="23"/>
      <c r="DR63" s="23"/>
      <c r="DS63" s="23"/>
      <c r="DT63" s="23"/>
      <c r="DU63" s="23"/>
      <c r="DV63" s="23"/>
      <c r="DW63" s="30"/>
      <c r="DX63" s="30"/>
      <c r="DY63" s="30"/>
      <c r="DZ63" s="30"/>
      <c r="EA63" s="30"/>
      <c r="EB63" s="30"/>
      <c r="EC63" s="30"/>
      <c r="ED63" s="30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30"/>
      <c r="ER63" s="30"/>
      <c r="ES63" s="30"/>
      <c r="ET63" s="30"/>
      <c r="EU63" s="30"/>
      <c r="EV63" s="30"/>
      <c r="EW63" s="30"/>
      <c r="EX63" s="30"/>
      <c r="EY63" s="30"/>
      <c r="EZ63" s="30"/>
      <c r="FA63" s="30"/>
      <c r="FB63" s="30"/>
      <c r="FC63" s="30"/>
      <c r="FD63" s="30"/>
      <c r="FE63" s="30"/>
      <c r="FF63" s="30"/>
      <c r="FG63" s="30"/>
      <c r="FH63" s="30"/>
      <c r="FI63" s="30"/>
      <c r="FJ63" s="30"/>
      <c r="FK63" s="30"/>
      <c r="FL63" s="30"/>
      <c r="FM63" s="30"/>
      <c r="FN63" s="30"/>
      <c r="FO63" s="30"/>
      <c r="FP63" s="30"/>
      <c r="FQ63" s="30"/>
      <c r="FR63" s="30"/>
      <c r="FS63" s="30"/>
      <c r="FT63" s="30"/>
      <c r="FU63" s="30"/>
      <c r="FV63" s="30"/>
      <c r="FW63" s="30"/>
      <c r="FX63" s="30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  <c r="AAA63" s="3"/>
      <c r="AAB63" s="3"/>
      <c r="AAC63" s="3"/>
      <c r="AAD63" s="3"/>
      <c r="AAE63" s="3"/>
      <c r="AAF63" s="3"/>
      <c r="AAG63" s="3"/>
      <c r="AAH63" s="3"/>
      <c r="AAI63" s="3"/>
      <c r="AAJ63" s="3"/>
      <c r="AAK63" s="3"/>
      <c r="AAL63" s="3"/>
      <c r="AAM63" s="3"/>
    </row>
    <row r="64" spans="1:715" s="2" customFormat="1" ht="50" customHeight="1">
      <c r="A64" s="8"/>
      <c r="B64" s="12"/>
      <c r="C64" s="8"/>
      <c r="D64" s="8"/>
      <c r="E64" s="8"/>
      <c r="F64" s="23"/>
      <c r="G64" s="20"/>
      <c r="H64" s="27"/>
      <c r="I64" s="28"/>
      <c r="J64" s="28"/>
      <c r="K64" s="26"/>
      <c r="L64" s="26"/>
      <c r="M64" s="26"/>
      <c r="N64" s="26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1"/>
      <c r="AT64" s="21"/>
      <c r="AU64" s="21"/>
      <c r="AV64" s="23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3"/>
      <c r="CE64" s="21"/>
      <c r="CF64" s="21"/>
      <c r="CG64" s="21"/>
      <c r="CH64" s="23"/>
      <c r="CI64" s="21"/>
      <c r="CJ64" s="21"/>
      <c r="CK64" s="21"/>
      <c r="CL64" s="23"/>
      <c r="CM64" s="21"/>
      <c r="CN64" s="21"/>
      <c r="CO64" s="21"/>
      <c r="CP64" s="23"/>
      <c r="CQ64" s="21"/>
      <c r="CR64" s="21"/>
      <c r="CS64" s="21"/>
      <c r="CT64" s="23"/>
      <c r="CU64" s="21"/>
      <c r="CV64" s="21"/>
      <c r="CW64" s="21"/>
      <c r="CX64" s="23"/>
      <c r="CY64" s="21"/>
      <c r="CZ64" s="21"/>
      <c r="DA64" s="21"/>
      <c r="DB64" s="23"/>
      <c r="DC64" s="21"/>
      <c r="DD64" s="21"/>
      <c r="DE64" s="21"/>
      <c r="DF64" s="23"/>
      <c r="DG64" s="21"/>
      <c r="DH64" s="21"/>
      <c r="DI64" s="21"/>
      <c r="DJ64" s="23"/>
      <c r="DK64" s="21"/>
      <c r="DL64" s="21"/>
      <c r="DM64" s="21"/>
      <c r="DN64" s="23"/>
      <c r="DO64" s="21"/>
      <c r="DP64" s="21"/>
      <c r="DQ64" s="21"/>
      <c r="DR64" s="23"/>
      <c r="DS64" s="21"/>
      <c r="DT64" s="21"/>
      <c r="DU64" s="21"/>
      <c r="DV64" s="23"/>
      <c r="DW64" s="32"/>
      <c r="DX64" s="32"/>
      <c r="DY64" s="31"/>
      <c r="DZ64" s="30"/>
      <c r="EA64" s="32"/>
      <c r="EB64" s="32"/>
      <c r="EC64" s="31"/>
      <c r="ED64" s="30"/>
      <c r="EE64" s="32"/>
      <c r="EF64" s="32"/>
      <c r="EG64" s="31"/>
      <c r="EH64" s="30"/>
      <c r="EI64" s="32"/>
      <c r="EJ64" s="32"/>
      <c r="EK64" s="31"/>
      <c r="EL64" s="30"/>
      <c r="EM64" s="32"/>
      <c r="EN64" s="32"/>
      <c r="EO64" s="31"/>
      <c r="EP64" s="30"/>
      <c r="EQ64" s="32"/>
      <c r="ER64" s="32"/>
      <c r="ES64" s="31"/>
      <c r="ET64" s="30"/>
      <c r="EU64" s="32"/>
      <c r="EV64" s="32"/>
      <c r="EW64" s="31"/>
      <c r="EX64" s="30"/>
      <c r="EY64" s="32"/>
      <c r="EZ64" s="32"/>
      <c r="FA64" s="31"/>
      <c r="FB64" s="30"/>
      <c r="FC64" s="32"/>
      <c r="FD64" s="32"/>
      <c r="FE64" s="31"/>
      <c r="FF64" s="30"/>
      <c r="FG64" s="32"/>
      <c r="FH64" s="32"/>
      <c r="FI64" s="31"/>
      <c r="FJ64" s="30"/>
      <c r="FK64" s="32"/>
      <c r="FL64" s="32"/>
      <c r="FM64" s="31"/>
      <c r="FN64" s="30"/>
      <c r="FO64" s="30"/>
      <c r="FP64" s="30"/>
      <c r="FQ64" s="30"/>
      <c r="FR64" s="30"/>
      <c r="FS64" s="30"/>
      <c r="FT64" s="30"/>
      <c r="FU64" s="30"/>
      <c r="FV64" s="30"/>
      <c r="FW64" s="30"/>
      <c r="FX64" s="30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  <c r="AAA64" s="3"/>
      <c r="AAB64" s="3"/>
      <c r="AAC64" s="3"/>
      <c r="AAD64" s="3"/>
      <c r="AAE64" s="3"/>
      <c r="AAF64" s="3"/>
      <c r="AAG64" s="3"/>
      <c r="AAH64" s="3"/>
      <c r="AAI64" s="3"/>
      <c r="AAJ64" s="3"/>
      <c r="AAK64" s="3"/>
      <c r="AAL64" s="3"/>
      <c r="AAM64" s="3"/>
    </row>
    <row r="65" spans="1:715" s="2" customFormat="1" ht="50" customHeight="1">
      <c r="A65" s="8"/>
      <c r="B65" s="12"/>
      <c r="C65" s="8"/>
      <c r="D65" s="8"/>
      <c r="E65" s="8"/>
      <c r="F65" s="23"/>
      <c r="G65" s="20"/>
      <c r="H65" s="27"/>
      <c r="I65" s="28"/>
      <c r="J65" s="28"/>
      <c r="K65" s="26"/>
      <c r="L65" s="26"/>
      <c r="M65" s="26"/>
      <c r="N65" s="26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1"/>
      <c r="AT65" s="21"/>
      <c r="AU65" s="21"/>
      <c r="AV65" s="23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3"/>
      <c r="CE65" s="21"/>
      <c r="CF65" s="21"/>
      <c r="CG65" s="21"/>
      <c r="CH65" s="23"/>
      <c r="CI65" s="21"/>
      <c r="CJ65" s="21"/>
      <c r="CK65" s="21"/>
      <c r="CL65" s="23"/>
      <c r="CM65" s="21"/>
      <c r="CN65" s="21"/>
      <c r="CO65" s="21"/>
      <c r="CP65" s="23"/>
      <c r="CQ65" s="21"/>
      <c r="CR65" s="21"/>
      <c r="CS65" s="21"/>
      <c r="CT65" s="23"/>
      <c r="CU65" s="21"/>
      <c r="CV65" s="21"/>
      <c r="CW65" s="21"/>
      <c r="CX65" s="23"/>
      <c r="CY65" s="21"/>
      <c r="CZ65" s="21"/>
      <c r="DA65" s="21"/>
      <c r="DB65" s="23"/>
      <c r="DC65" s="21"/>
      <c r="DD65" s="21"/>
      <c r="DE65" s="21"/>
      <c r="DF65" s="23"/>
      <c r="DG65" s="21"/>
      <c r="DH65" s="21"/>
      <c r="DI65" s="21"/>
      <c r="DJ65" s="23"/>
      <c r="DK65" s="21"/>
      <c r="DL65" s="21"/>
      <c r="DM65" s="21"/>
      <c r="DN65" s="23"/>
      <c r="DO65" s="21"/>
      <c r="DP65" s="21"/>
      <c r="DQ65" s="21"/>
      <c r="DR65" s="23"/>
      <c r="DS65" s="21"/>
      <c r="DT65" s="21"/>
      <c r="DU65" s="21"/>
      <c r="DV65" s="23"/>
      <c r="DW65" s="32"/>
      <c r="DX65" s="32"/>
      <c r="DY65" s="31"/>
      <c r="DZ65" s="30"/>
      <c r="EA65" s="32"/>
      <c r="EB65" s="32"/>
      <c r="EC65" s="31"/>
      <c r="ED65" s="30"/>
      <c r="EE65" s="32"/>
      <c r="EF65" s="32"/>
      <c r="EG65" s="31"/>
      <c r="EH65" s="30"/>
      <c r="EI65" s="32"/>
      <c r="EJ65" s="32"/>
      <c r="EK65" s="31"/>
      <c r="EL65" s="30"/>
      <c r="EM65" s="32"/>
      <c r="EN65" s="32"/>
      <c r="EO65" s="31"/>
      <c r="EP65" s="30"/>
      <c r="EQ65" s="32"/>
      <c r="ER65" s="32"/>
      <c r="ES65" s="31"/>
      <c r="ET65" s="30"/>
      <c r="EU65" s="32"/>
      <c r="EV65" s="32"/>
      <c r="EW65" s="31"/>
      <c r="EX65" s="30"/>
      <c r="EY65" s="32"/>
      <c r="EZ65" s="32"/>
      <c r="FA65" s="31"/>
      <c r="FB65" s="30"/>
      <c r="FC65" s="32"/>
      <c r="FD65" s="32"/>
      <c r="FE65" s="31"/>
      <c r="FF65" s="30"/>
      <c r="FG65" s="32"/>
      <c r="FH65" s="32"/>
      <c r="FI65" s="31"/>
      <c r="FJ65" s="30"/>
      <c r="FK65" s="32"/>
      <c r="FL65" s="32"/>
      <c r="FM65" s="31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  <c r="AAA65" s="3"/>
      <c r="AAB65" s="3"/>
      <c r="AAC65" s="3"/>
      <c r="AAD65" s="3"/>
      <c r="AAE65" s="3"/>
      <c r="AAF65" s="3"/>
      <c r="AAG65" s="3"/>
      <c r="AAH65" s="3"/>
      <c r="AAI65" s="3"/>
      <c r="AAJ65" s="3"/>
      <c r="AAK65" s="3"/>
      <c r="AAL65" s="3"/>
      <c r="AAM65" s="3"/>
    </row>
    <row r="66" spans="1:715" s="2" customFormat="1" ht="50" customHeight="1">
      <c r="A66" s="8"/>
      <c r="B66" s="12"/>
      <c r="C66" s="8"/>
      <c r="D66" s="8"/>
      <c r="E66" s="8"/>
      <c r="F66" s="23"/>
      <c r="G66" s="20"/>
      <c r="H66" s="27"/>
      <c r="I66" s="28"/>
      <c r="J66" s="28"/>
      <c r="K66" s="26"/>
      <c r="L66" s="26"/>
      <c r="M66" s="26"/>
      <c r="N66" s="26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  <c r="AAA66" s="3"/>
      <c r="AAB66" s="3"/>
      <c r="AAC66" s="3"/>
      <c r="AAD66" s="3"/>
      <c r="AAE66" s="3"/>
      <c r="AAF66" s="3"/>
      <c r="AAG66" s="3"/>
      <c r="AAH66" s="3"/>
      <c r="AAI66" s="3"/>
      <c r="AAJ66" s="3"/>
      <c r="AAK66" s="3"/>
      <c r="AAL66" s="3"/>
      <c r="AAM66" s="3"/>
    </row>
    <row r="67" spans="1:715" s="2" customFormat="1" ht="50" customHeight="1">
      <c r="A67" s="8"/>
      <c r="B67" s="12"/>
      <c r="C67" s="8"/>
      <c r="D67" s="8"/>
      <c r="E67" s="8"/>
      <c r="F67" s="23"/>
      <c r="G67" s="20"/>
      <c r="H67" s="27"/>
      <c r="I67" s="28"/>
      <c r="J67" s="28"/>
      <c r="K67" s="26"/>
      <c r="L67" s="26"/>
      <c r="M67" s="26"/>
      <c r="N67" s="26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5"/>
      <c r="AY67" s="25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  <c r="AAA67" s="3"/>
      <c r="AAB67" s="3"/>
      <c r="AAC67" s="3"/>
      <c r="AAD67" s="3"/>
      <c r="AAE67" s="3"/>
      <c r="AAF67" s="3"/>
      <c r="AAG67" s="3"/>
      <c r="AAH67" s="3"/>
      <c r="AAI67" s="3"/>
      <c r="AAJ67" s="3"/>
      <c r="AAK67" s="3"/>
      <c r="AAL67" s="3"/>
      <c r="AAM67" s="3"/>
    </row>
    <row r="68" spans="1:715" s="2" customFormat="1" ht="50" customHeight="1">
      <c r="A68" s="8"/>
      <c r="B68" s="12"/>
      <c r="C68" s="8"/>
      <c r="D68" s="8"/>
      <c r="E68" s="8"/>
      <c r="F68" s="23"/>
      <c r="G68" s="20"/>
      <c r="H68" s="27"/>
      <c r="I68" s="28"/>
      <c r="J68" s="28"/>
      <c r="K68" s="26"/>
      <c r="L68" s="26"/>
      <c r="M68" s="26"/>
      <c r="N68" s="26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1"/>
      <c r="AT68" s="21"/>
      <c r="AU68" s="21"/>
      <c r="AV68" s="23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3"/>
      <c r="CE68" s="21"/>
      <c r="CF68" s="21"/>
      <c r="CG68" s="21"/>
      <c r="CH68" s="23"/>
      <c r="CI68" s="21"/>
      <c r="CJ68" s="21"/>
      <c r="CK68" s="21"/>
      <c r="CL68" s="23"/>
      <c r="CM68" s="21"/>
      <c r="CN68" s="21"/>
      <c r="CO68" s="21"/>
      <c r="CP68" s="23"/>
      <c r="CQ68" s="21"/>
      <c r="CR68" s="21"/>
      <c r="CS68" s="21"/>
      <c r="CT68" s="23"/>
      <c r="CU68" s="21"/>
      <c r="CV68" s="21"/>
      <c r="CW68" s="21"/>
      <c r="CX68" s="23"/>
      <c r="CY68" s="21"/>
      <c r="CZ68" s="21"/>
      <c r="DA68" s="21"/>
      <c r="DB68" s="23"/>
      <c r="DC68" s="21"/>
      <c r="DD68" s="21"/>
      <c r="DE68" s="21"/>
      <c r="DF68" s="23"/>
      <c r="DG68" s="21"/>
      <c r="DH68" s="21"/>
      <c r="DI68" s="21"/>
      <c r="DJ68" s="23"/>
      <c r="DK68" s="21"/>
      <c r="DL68" s="21"/>
      <c r="DM68" s="21"/>
      <c r="DN68" s="23"/>
      <c r="DO68" s="21"/>
      <c r="DP68" s="21"/>
      <c r="DQ68" s="21"/>
      <c r="DR68" s="23"/>
      <c r="DS68" s="21"/>
      <c r="DT68" s="21"/>
      <c r="DU68" s="21"/>
      <c r="DV68" s="23"/>
      <c r="DW68" s="32"/>
      <c r="DX68" s="32"/>
      <c r="DY68" s="31"/>
      <c r="DZ68" s="30"/>
      <c r="EA68" s="32"/>
      <c r="EB68" s="32"/>
      <c r="EC68" s="31"/>
      <c r="ED68" s="30"/>
      <c r="EE68" s="32"/>
      <c r="EF68" s="32"/>
      <c r="EG68" s="31"/>
      <c r="EH68" s="30"/>
      <c r="EI68" s="32"/>
      <c r="EJ68" s="32"/>
      <c r="EK68" s="31"/>
      <c r="EL68" s="30"/>
      <c r="EM68" s="32"/>
      <c r="EN68" s="32"/>
      <c r="EO68" s="31"/>
      <c r="EP68" s="30"/>
      <c r="EQ68" s="32"/>
      <c r="ER68" s="32"/>
      <c r="ES68" s="31"/>
      <c r="ET68" s="30"/>
      <c r="EU68" s="32"/>
      <c r="EV68" s="32"/>
      <c r="EW68" s="31"/>
      <c r="EX68" s="30"/>
      <c r="EY68" s="32"/>
      <c r="EZ68" s="32"/>
      <c r="FA68" s="31"/>
      <c r="FB68" s="30"/>
      <c r="FC68" s="32"/>
      <c r="FD68" s="32"/>
      <c r="FE68" s="31"/>
      <c r="FF68" s="30"/>
      <c r="FG68" s="32"/>
      <c r="FH68" s="32"/>
      <c r="FI68" s="31"/>
      <c r="FJ68" s="30"/>
      <c r="FK68" s="32"/>
      <c r="FL68" s="32"/>
      <c r="FM68" s="31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  <c r="AAA68" s="3"/>
      <c r="AAB68" s="3"/>
      <c r="AAC68" s="3"/>
      <c r="AAD68" s="3"/>
      <c r="AAE68" s="3"/>
      <c r="AAF68" s="3"/>
      <c r="AAG68" s="3"/>
      <c r="AAH68" s="3"/>
      <c r="AAI68" s="3"/>
      <c r="AAJ68" s="3"/>
      <c r="AAK68" s="3"/>
      <c r="AAL68" s="3"/>
      <c r="AAM68" s="3"/>
    </row>
    <row r="69" spans="1:715" s="2" customFormat="1" ht="50" customHeight="1">
      <c r="A69" s="8"/>
      <c r="B69" s="12"/>
      <c r="C69" s="8"/>
      <c r="D69" s="8"/>
      <c r="E69" s="8"/>
      <c r="F69" s="23"/>
      <c r="G69" s="20"/>
      <c r="H69" s="27"/>
      <c r="I69" s="28"/>
      <c r="J69" s="28"/>
      <c r="K69" s="26"/>
      <c r="L69" s="26"/>
      <c r="M69" s="26"/>
      <c r="N69" s="26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1"/>
      <c r="AT69" s="21"/>
      <c r="AU69" s="21"/>
      <c r="AV69" s="23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3"/>
      <c r="CE69" s="21"/>
      <c r="CF69" s="21"/>
      <c r="CG69" s="21"/>
      <c r="CH69" s="23"/>
      <c r="CI69" s="21"/>
      <c r="CJ69" s="21"/>
      <c r="CK69" s="21"/>
      <c r="CL69" s="23"/>
      <c r="CM69" s="21"/>
      <c r="CN69" s="21"/>
      <c r="CO69" s="21"/>
      <c r="CP69" s="23"/>
      <c r="CQ69" s="21"/>
      <c r="CR69" s="21"/>
      <c r="CS69" s="21"/>
      <c r="CT69" s="23"/>
      <c r="CU69" s="21"/>
      <c r="CV69" s="21"/>
      <c r="CW69" s="21"/>
      <c r="CX69" s="23"/>
      <c r="CY69" s="21"/>
      <c r="CZ69" s="21"/>
      <c r="DA69" s="21"/>
      <c r="DB69" s="23"/>
      <c r="DC69" s="21"/>
      <c r="DD69" s="21"/>
      <c r="DE69" s="21"/>
      <c r="DF69" s="23"/>
      <c r="DG69" s="21"/>
      <c r="DH69" s="21"/>
      <c r="DI69" s="21"/>
      <c r="DJ69" s="23"/>
      <c r="DK69" s="21"/>
      <c r="DL69" s="21"/>
      <c r="DM69" s="21"/>
      <c r="DN69" s="23"/>
      <c r="DO69" s="21"/>
      <c r="DP69" s="21"/>
      <c r="DQ69" s="21"/>
      <c r="DR69" s="23"/>
      <c r="DS69" s="21"/>
      <c r="DT69" s="21"/>
      <c r="DU69" s="21"/>
      <c r="DV69" s="23"/>
      <c r="DW69" s="32"/>
      <c r="DX69" s="32"/>
      <c r="DY69" s="31"/>
      <c r="DZ69" s="30"/>
      <c r="EA69" s="32"/>
      <c r="EB69" s="32"/>
      <c r="EC69" s="31"/>
      <c r="ED69" s="30"/>
      <c r="EE69" s="32"/>
      <c r="EF69" s="32"/>
      <c r="EG69" s="31"/>
      <c r="EH69" s="30"/>
      <c r="EI69" s="32"/>
      <c r="EJ69" s="32"/>
      <c r="EK69" s="31"/>
      <c r="EL69" s="30"/>
      <c r="EM69" s="32"/>
      <c r="EN69" s="32"/>
      <c r="EO69" s="31"/>
      <c r="EP69" s="30"/>
      <c r="EQ69" s="32"/>
      <c r="ER69" s="32"/>
      <c r="ES69" s="31"/>
      <c r="ET69" s="30"/>
      <c r="EU69" s="32"/>
      <c r="EV69" s="32"/>
      <c r="EW69" s="31"/>
      <c r="EX69" s="30"/>
      <c r="EY69" s="32"/>
      <c r="EZ69" s="32"/>
      <c r="FA69" s="31"/>
      <c r="FB69" s="30"/>
      <c r="FC69" s="32"/>
      <c r="FD69" s="32"/>
      <c r="FE69" s="31"/>
      <c r="FF69" s="30"/>
      <c r="FG69" s="32"/>
      <c r="FH69" s="32"/>
      <c r="FI69" s="31"/>
      <c r="FJ69" s="30"/>
      <c r="FK69" s="32"/>
      <c r="FL69" s="32"/>
      <c r="FM69" s="31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  <c r="AAA69" s="3"/>
      <c r="AAB69" s="3"/>
      <c r="AAC69" s="3"/>
      <c r="AAD69" s="3"/>
      <c r="AAE69" s="3"/>
      <c r="AAF69" s="3"/>
      <c r="AAG69" s="3"/>
      <c r="AAH69" s="3"/>
      <c r="AAI69" s="3"/>
      <c r="AAJ69" s="3"/>
      <c r="AAK69" s="3"/>
      <c r="AAL69" s="3"/>
      <c r="AAM69" s="3"/>
    </row>
    <row r="70" spans="1:715" s="2" customFormat="1" ht="50" customHeight="1">
      <c r="A70" s="8"/>
      <c r="B70" s="12"/>
      <c r="C70" s="8"/>
      <c r="D70" s="8"/>
      <c r="E70" s="8"/>
      <c r="F70" s="23"/>
      <c r="G70" s="20"/>
      <c r="H70" s="27"/>
      <c r="I70" s="28"/>
      <c r="J70" s="28"/>
      <c r="K70" s="26"/>
      <c r="L70" s="26"/>
      <c r="M70" s="26"/>
      <c r="N70" s="26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3"/>
      <c r="DH70" s="23"/>
      <c r="DI70" s="23"/>
      <c r="DJ70" s="23"/>
      <c r="DK70" s="23"/>
      <c r="DL70" s="23"/>
      <c r="DM70" s="23"/>
      <c r="DN70" s="23"/>
      <c r="DO70" s="23"/>
      <c r="DP70" s="23"/>
      <c r="DQ70" s="23"/>
      <c r="DR70" s="23"/>
      <c r="DS70" s="23"/>
      <c r="DT70" s="23"/>
      <c r="DU70" s="23"/>
      <c r="DV70" s="23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  <c r="AAA70" s="3"/>
      <c r="AAB70" s="3"/>
      <c r="AAC70" s="3"/>
      <c r="AAD70" s="3"/>
      <c r="AAE70" s="3"/>
      <c r="AAF70" s="3"/>
      <c r="AAG70" s="3"/>
      <c r="AAH70" s="3"/>
      <c r="AAI70" s="3"/>
      <c r="AAJ70" s="3"/>
      <c r="AAK70" s="3"/>
      <c r="AAL70" s="3"/>
      <c r="AAM70" s="3"/>
    </row>
    <row r="71" spans="1:715" s="2" customFormat="1" ht="50" customHeight="1">
      <c r="A71" s="8"/>
      <c r="B71" s="12"/>
      <c r="C71" s="8"/>
      <c r="D71" s="8"/>
      <c r="E71" s="8"/>
      <c r="F71" s="23"/>
      <c r="G71" s="20"/>
      <c r="H71" s="27"/>
      <c r="I71" s="28"/>
      <c r="J71" s="28"/>
      <c r="K71" s="26"/>
      <c r="L71" s="26"/>
      <c r="M71" s="26"/>
      <c r="N71" s="26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5"/>
      <c r="AY71" s="25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3"/>
      <c r="DH71" s="23"/>
      <c r="DI71" s="23"/>
      <c r="DJ71" s="23"/>
      <c r="DK71" s="23"/>
      <c r="DL71" s="23"/>
      <c r="DM71" s="23"/>
      <c r="DN71" s="23"/>
      <c r="DO71" s="23"/>
      <c r="DP71" s="23"/>
      <c r="DQ71" s="23"/>
      <c r="DR71" s="23"/>
      <c r="DS71" s="23"/>
      <c r="DT71" s="23"/>
      <c r="DU71" s="23"/>
      <c r="DV71" s="23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  <c r="AAA71" s="3"/>
      <c r="AAB71" s="3"/>
      <c r="AAC71" s="3"/>
      <c r="AAD71" s="3"/>
      <c r="AAE71" s="3"/>
      <c r="AAF71" s="3"/>
      <c r="AAG71" s="3"/>
      <c r="AAH71" s="3"/>
      <c r="AAI71" s="3"/>
      <c r="AAJ71" s="3"/>
      <c r="AAK71" s="3"/>
      <c r="AAL71" s="3"/>
      <c r="AAM71" s="3"/>
    </row>
    <row r="72" spans="1:715" s="2" customFormat="1" ht="50" customHeight="1">
      <c r="A72" s="8"/>
      <c r="B72" s="12"/>
      <c r="C72" s="8"/>
      <c r="D72" s="8"/>
      <c r="E72" s="8"/>
      <c r="F72" s="23"/>
      <c r="G72" s="20"/>
      <c r="H72" s="27"/>
      <c r="I72" s="28"/>
      <c r="J72" s="28"/>
      <c r="K72" s="26"/>
      <c r="L72" s="26"/>
      <c r="M72" s="26"/>
      <c r="N72" s="26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1"/>
      <c r="AZ72" s="21"/>
      <c r="BA72" s="21"/>
      <c r="BB72" s="23"/>
      <c r="BC72" s="21"/>
      <c r="BD72" s="21"/>
      <c r="BE72" s="21"/>
      <c r="BF72" s="23"/>
      <c r="BG72" s="21"/>
      <c r="BH72" s="21"/>
      <c r="BI72" s="21"/>
      <c r="BJ72" s="23"/>
      <c r="BK72" s="21"/>
      <c r="BL72" s="21"/>
      <c r="BM72" s="21"/>
      <c r="BN72" s="23"/>
      <c r="BO72" s="21"/>
      <c r="BP72" s="21"/>
      <c r="BQ72" s="21"/>
      <c r="BR72" s="23"/>
      <c r="BS72" s="21"/>
      <c r="BT72" s="21"/>
      <c r="BU72" s="21"/>
      <c r="BV72" s="23"/>
      <c r="BW72" s="21"/>
      <c r="BX72" s="21"/>
      <c r="BY72" s="21"/>
      <c r="BZ72" s="23"/>
      <c r="CA72" s="21"/>
      <c r="CB72" s="21"/>
      <c r="CC72" s="21"/>
      <c r="CD72" s="23"/>
      <c r="CE72" s="21"/>
      <c r="CF72" s="21"/>
      <c r="CG72" s="21"/>
      <c r="CH72" s="23"/>
      <c r="CI72" s="21"/>
      <c r="CJ72" s="21"/>
      <c r="CK72" s="21"/>
      <c r="CL72" s="23"/>
      <c r="CM72" s="21"/>
      <c r="CN72" s="21"/>
      <c r="CO72" s="21"/>
      <c r="CP72" s="23"/>
      <c r="CQ72" s="21"/>
      <c r="CR72" s="21"/>
      <c r="CS72" s="21"/>
      <c r="CT72" s="23"/>
      <c r="CU72" s="21"/>
      <c r="CV72" s="21"/>
      <c r="CW72" s="21"/>
      <c r="CX72" s="23"/>
      <c r="CY72" s="21"/>
      <c r="CZ72" s="21"/>
      <c r="DA72" s="21"/>
      <c r="DB72" s="23"/>
      <c r="DC72" s="21"/>
      <c r="DD72" s="21"/>
      <c r="DE72" s="21"/>
      <c r="DF72" s="23"/>
      <c r="DG72" s="21"/>
      <c r="DH72" s="21"/>
      <c r="DI72" s="21"/>
      <c r="DJ72" s="23"/>
      <c r="DK72" s="21"/>
      <c r="DL72" s="21"/>
      <c r="DM72" s="21"/>
      <c r="DN72" s="23"/>
      <c r="DO72" s="21"/>
      <c r="DP72" s="21"/>
      <c r="DQ72" s="21"/>
      <c r="DR72" s="23"/>
      <c r="DS72" s="21"/>
      <c r="DT72" s="21"/>
      <c r="DU72" s="21"/>
      <c r="DV72" s="23"/>
      <c r="DW72" s="32"/>
      <c r="DX72" s="32"/>
      <c r="DY72" s="31"/>
      <c r="DZ72" s="30"/>
      <c r="EA72" s="32"/>
      <c r="EB72" s="32"/>
      <c r="EC72" s="31"/>
      <c r="ED72" s="30"/>
      <c r="EE72" s="32"/>
      <c r="EF72" s="32"/>
      <c r="EG72" s="31"/>
      <c r="EH72" s="30"/>
      <c r="EI72" s="32"/>
      <c r="EJ72" s="32"/>
      <c r="EK72" s="31"/>
      <c r="EL72" s="30"/>
      <c r="EM72" s="32"/>
      <c r="EN72" s="32"/>
      <c r="EO72" s="31"/>
      <c r="EP72" s="30"/>
      <c r="EQ72" s="32"/>
      <c r="ER72" s="32"/>
      <c r="ES72" s="31"/>
      <c r="ET72" s="30"/>
      <c r="EU72" s="32"/>
      <c r="EV72" s="32"/>
      <c r="EW72" s="31"/>
      <c r="EX72" s="30"/>
      <c r="EY72" s="32"/>
      <c r="EZ72" s="32"/>
      <c r="FA72" s="31"/>
      <c r="FB72" s="30"/>
      <c r="FC72" s="32"/>
      <c r="FD72" s="32"/>
      <c r="FE72" s="31"/>
      <c r="FF72" s="30"/>
      <c r="FG72" s="32"/>
      <c r="FH72" s="32"/>
      <c r="FI72" s="31"/>
      <c r="FJ72" s="30"/>
      <c r="FK72" s="32"/>
      <c r="FL72" s="32"/>
      <c r="FM72" s="31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  <c r="AAA72" s="3"/>
      <c r="AAB72" s="3"/>
      <c r="AAC72" s="3"/>
      <c r="AAD72" s="3"/>
      <c r="AAE72" s="3"/>
      <c r="AAF72" s="3"/>
      <c r="AAG72" s="3"/>
      <c r="AAH72" s="3"/>
      <c r="AAI72" s="3"/>
      <c r="AAJ72" s="3"/>
      <c r="AAK72" s="3"/>
      <c r="AAL72" s="3"/>
      <c r="AAM72" s="3"/>
    </row>
    <row r="73" spans="1:715" s="2" customFormat="1" ht="50" customHeight="1">
      <c r="A73" s="8"/>
      <c r="B73" s="12"/>
      <c r="C73" s="8"/>
      <c r="D73" s="8"/>
      <c r="E73" s="8"/>
      <c r="F73" s="23"/>
      <c r="G73" s="20"/>
      <c r="H73" s="27"/>
      <c r="I73" s="28"/>
      <c r="J73" s="28"/>
      <c r="K73" s="26"/>
      <c r="L73" s="26"/>
      <c r="M73" s="26"/>
      <c r="N73" s="26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1"/>
      <c r="AZ73" s="21"/>
      <c r="BA73" s="21"/>
      <c r="BB73" s="23"/>
      <c r="BC73" s="21"/>
      <c r="BD73" s="21"/>
      <c r="BE73" s="21"/>
      <c r="BF73" s="23"/>
      <c r="BG73" s="21"/>
      <c r="BH73" s="21"/>
      <c r="BI73" s="21"/>
      <c r="BJ73" s="23"/>
      <c r="BK73" s="21"/>
      <c r="BL73" s="21"/>
      <c r="BM73" s="21"/>
      <c r="BN73" s="23"/>
      <c r="BO73" s="21"/>
      <c r="BP73" s="21"/>
      <c r="BQ73" s="21"/>
      <c r="BR73" s="23"/>
      <c r="BS73" s="21"/>
      <c r="BT73" s="21"/>
      <c r="BU73" s="21"/>
      <c r="BV73" s="23"/>
      <c r="BW73" s="21"/>
      <c r="BX73" s="21"/>
      <c r="BY73" s="21"/>
      <c r="BZ73" s="23"/>
      <c r="CA73" s="21"/>
      <c r="CB73" s="21"/>
      <c r="CC73" s="21"/>
      <c r="CD73" s="23"/>
      <c r="CE73" s="21"/>
      <c r="CF73" s="21"/>
      <c r="CG73" s="21"/>
      <c r="CH73" s="23"/>
      <c r="CI73" s="21"/>
      <c r="CJ73" s="21"/>
      <c r="CK73" s="21"/>
      <c r="CL73" s="23"/>
      <c r="CM73" s="21"/>
      <c r="CN73" s="21"/>
      <c r="CO73" s="21"/>
      <c r="CP73" s="23"/>
      <c r="CQ73" s="21"/>
      <c r="CR73" s="21"/>
      <c r="CS73" s="21"/>
      <c r="CT73" s="23"/>
      <c r="CU73" s="21"/>
      <c r="CV73" s="21"/>
      <c r="CW73" s="21"/>
      <c r="CX73" s="23"/>
      <c r="CY73" s="21"/>
      <c r="CZ73" s="21"/>
      <c r="DA73" s="21"/>
      <c r="DB73" s="23"/>
      <c r="DC73" s="21"/>
      <c r="DD73" s="21"/>
      <c r="DE73" s="21"/>
      <c r="DF73" s="23"/>
      <c r="DG73" s="21"/>
      <c r="DH73" s="21"/>
      <c r="DI73" s="21"/>
      <c r="DJ73" s="23"/>
      <c r="DK73" s="21"/>
      <c r="DL73" s="21"/>
      <c r="DM73" s="21"/>
      <c r="DN73" s="23"/>
      <c r="DO73" s="21"/>
      <c r="DP73" s="21"/>
      <c r="DQ73" s="21"/>
      <c r="DR73" s="23"/>
      <c r="DS73" s="21"/>
      <c r="DT73" s="21"/>
      <c r="DU73" s="21"/>
      <c r="DV73" s="23"/>
      <c r="DW73" s="32"/>
      <c r="DX73" s="32"/>
      <c r="DY73" s="31"/>
      <c r="DZ73" s="30"/>
      <c r="EA73" s="32"/>
      <c r="EB73" s="32"/>
      <c r="EC73" s="31"/>
      <c r="ED73" s="30"/>
      <c r="EE73" s="32"/>
      <c r="EF73" s="32"/>
      <c r="EG73" s="31"/>
      <c r="EH73" s="30"/>
      <c r="EI73" s="32"/>
      <c r="EJ73" s="32"/>
      <c r="EK73" s="31"/>
      <c r="EL73" s="30"/>
      <c r="EM73" s="32"/>
      <c r="EN73" s="32"/>
      <c r="EO73" s="31"/>
      <c r="EP73" s="30"/>
      <c r="EQ73" s="32"/>
      <c r="ER73" s="32"/>
      <c r="ES73" s="31"/>
      <c r="ET73" s="30"/>
      <c r="EU73" s="32"/>
      <c r="EV73" s="32"/>
      <c r="EW73" s="31"/>
      <c r="EX73" s="30"/>
      <c r="EY73" s="32"/>
      <c r="EZ73" s="32"/>
      <c r="FA73" s="31"/>
      <c r="FB73" s="30"/>
      <c r="FC73" s="32"/>
      <c r="FD73" s="32"/>
      <c r="FE73" s="31"/>
      <c r="FF73" s="30"/>
      <c r="FG73" s="32"/>
      <c r="FH73" s="32"/>
      <c r="FI73" s="31"/>
      <c r="FJ73" s="30"/>
      <c r="FK73" s="32"/>
      <c r="FL73" s="32"/>
      <c r="FM73" s="31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  <c r="AAA73" s="3"/>
      <c r="AAB73" s="3"/>
      <c r="AAC73" s="3"/>
      <c r="AAD73" s="3"/>
      <c r="AAE73" s="3"/>
      <c r="AAF73" s="3"/>
      <c r="AAG73" s="3"/>
      <c r="AAH73" s="3"/>
      <c r="AAI73" s="3"/>
      <c r="AAJ73" s="3"/>
      <c r="AAK73" s="3"/>
      <c r="AAL73" s="3"/>
      <c r="AAM73" s="3"/>
    </row>
    <row r="74" spans="1:715" s="2" customFormat="1" ht="50" customHeight="1">
      <c r="A74" s="8"/>
      <c r="B74" s="12"/>
      <c r="C74" s="8"/>
      <c r="D74" s="8"/>
      <c r="E74" s="8"/>
      <c r="F74" s="23"/>
      <c r="G74" s="20"/>
      <c r="H74" s="27"/>
      <c r="I74" s="28"/>
      <c r="J74" s="28"/>
      <c r="K74" s="26"/>
      <c r="L74" s="26"/>
      <c r="M74" s="26"/>
      <c r="N74" s="26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  <c r="CP74" s="23"/>
      <c r="CQ74" s="23"/>
      <c r="CR74" s="23"/>
      <c r="CS74" s="23"/>
      <c r="CT74" s="23"/>
      <c r="CU74" s="23"/>
      <c r="CV74" s="23"/>
      <c r="CW74" s="23"/>
      <c r="CX74" s="23"/>
      <c r="CY74" s="23"/>
      <c r="CZ74" s="23"/>
      <c r="DA74" s="23"/>
      <c r="DB74" s="23"/>
      <c r="DC74" s="23"/>
      <c r="DD74" s="23"/>
      <c r="DE74" s="23"/>
      <c r="DF74" s="23"/>
      <c r="DG74" s="23"/>
      <c r="DH74" s="23"/>
      <c r="DI74" s="23"/>
      <c r="DJ74" s="23"/>
      <c r="DK74" s="23"/>
      <c r="DL74" s="23"/>
      <c r="DM74" s="23"/>
      <c r="DN74" s="23"/>
      <c r="DO74" s="23"/>
      <c r="DP74" s="23"/>
      <c r="DQ74" s="23"/>
      <c r="DR74" s="23"/>
      <c r="DS74" s="23"/>
      <c r="DT74" s="23"/>
      <c r="DU74" s="23"/>
      <c r="DV74" s="23"/>
      <c r="DW74" s="30"/>
      <c r="DX74" s="3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30"/>
      <c r="ER74" s="3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/>
      <c r="FJ74" s="30"/>
      <c r="FK74" s="30"/>
      <c r="FL74" s="30"/>
      <c r="FM74" s="30"/>
      <c r="FN74" s="30"/>
      <c r="FO74" s="30"/>
      <c r="FP74" s="30"/>
      <c r="FQ74" s="30"/>
      <c r="FR74" s="30"/>
      <c r="FS74" s="30"/>
      <c r="FT74" s="30"/>
      <c r="FU74" s="30"/>
      <c r="FV74" s="30"/>
      <c r="FW74" s="30"/>
      <c r="FX74" s="30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  <c r="AAA74" s="3"/>
      <c r="AAB74" s="3"/>
      <c r="AAC74" s="3"/>
      <c r="AAD74" s="3"/>
      <c r="AAE74" s="3"/>
      <c r="AAF74" s="3"/>
      <c r="AAG74" s="3"/>
      <c r="AAH74" s="3"/>
      <c r="AAI74" s="3"/>
      <c r="AAJ74" s="3"/>
      <c r="AAK74" s="3"/>
      <c r="AAL74" s="3"/>
      <c r="AAM74" s="3"/>
    </row>
    <row r="75" spans="1:715" s="2" customFormat="1" ht="50" customHeight="1">
      <c r="A75" s="8"/>
      <c r="B75" s="12"/>
      <c r="C75" s="8"/>
      <c r="D75" s="8"/>
      <c r="E75" s="8"/>
      <c r="F75" s="23"/>
      <c r="G75" s="20"/>
      <c r="H75" s="27"/>
      <c r="I75" s="28"/>
      <c r="J75" s="28"/>
      <c r="K75" s="26"/>
      <c r="L75" s="26"/>
      <c r="M75" s="26"/>
      <c r="N75" s="26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5"/>
      <c r="AY75" s="25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  <c r="CP75" s="23"/>
      <c r="CQ75" s="23"/>
      <c r="CR75" s="23"/>
      <c r="CS75" s="23"/>
      <c r="CT75" s="23"/>
      <c r="CU75" s="23"/>
      <c r="CV75" s="23"/>
      <c r="CW75" s="23"/>
      <c r="CX75" s="23"/>
      <c r="CY75" s="23"/>
      <c r="CZ75" s="23"/>
      <c r="DA75" s="23"/>
      <c r="DB75" s="23"/>
      <c r="DC75" s="23"/>
      <c r="DD75" s="23"/>
      <c r="DE75" s="23"/>
      <c r="DF75" s="23"/>
      <c r="DG75" s="23"/>
      <c r="DH75" s="23"/>
      <c r="DI75" s="23"/>
      <c r="DJ75" s="23"/>
      <c r="DK75" s="23"/>
      <c r="DL75" s="23"/>
      <c r="DM75" s="23"/>
      <c r="DN75" s="23"/>
      <c r="DO75" s="23"/>
      <c r="DP75" s="23"/>
      <c r="DQ75" s="23"/>
      <c r="DR75" s="23"/>
      <c r="DS75" s="23"/>
      <c r="DT75" s="23"/>
      <c r="DU75" s="23"/>
      <c r="DV75" s="23"/>
      <c r="DW75" s="30"/>
      <c r="DX75" s="3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/>
      <c r="FJ75" s="30"/>
      <c r="FK75" s="30"/>
      <c r="FL75" s="30"/>
      <c r="FM75" s="30"/>
      <c r="FN75" s="30"/>
      <c r="FO75" s="30"/>
      <c r="FP75" s="30"/>
      <c r="FQ75" s="30"/>
      <c r="FR75" s="30"/>
      <c r="FS75" s="30"/>
      <c r="FT75" s="30"/>
      <c r="FU75" s="30"/>
      <c r="FV75" s="30"/>
      <c r="FW75" s="30"/>
      <c r="FX75" s="30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  <c r="AAA75" s="3"/>
      <c r="AAB75" s="3"/>
      <c r="AAC75" s="3"/>
      <c r="AAD75" s="3"/>
      <c r="AAE75" s="3"/>
      <c r="AAF75" s="3"/>
      <c r="AAG75" s="3"/>
      <c r="AAH75" s="3"/>
      <c r="AAI75" s="3"/>
      <c r="AAJ75" s="3"/>
      <c r="AAK75" s="3"/>
      <c r="AAL75" s="3"/>
      <c r="AAM75" s="3"/>
    </row>
    <row r="76" spans="1:715" s="2" customFormat="1" ht="50" customHeight="1">
      <c r="A76" s="8"/>
      <c r="B76" s="12"/>
      <c r="C76" s="8"/>
      <c r="D76" s="8"/>
      <c r="E76" s="8"/>
      <c r="F76" s="23"/>
      <c r="G76" s="20"/>
      <c r="H76" s="27"/>
      <c r="I76" s="28"/>
      <c r="J76" s="28"/>
      <c r="K76" s="26"/>
      <c r="L76" s="26"/>
      <c r="M76" s="26"/>
      <c r="N76" s="26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1"/>
      <c r="AZ76" s="21"/>
      <c r="BA76" s="21"/>
      <c r="BB76" s="23"/>
      <c r="BC76" s="21"/>
      <c r="BD76" s="21"/>
      <c r="BE76" s="21"/>
      <c r="BF76" s="23"/>
      <c r="BG76" s="21"/>
      <c r="BH76" s="21"/>
      <c r="BI76" s="21"/>
      <c r="BJ76" s="23"/>
      <c r="BK76" s="21"/>
      <c r="BL76" s="21"/>
      <c r="BM76" s="21"/>
      <c r="BN76" s="23"/>
      <c r="BO76" s="21"/>
      <c r="BP76" s="21"/>
      <c r="BQ76" s="21"/>
      <c r="BR76" s="23"/>
      <c r="BS76" s="21"/>
      <c r="BT76" s="21"/>
      <c r="BU76" s="21"/>
      <c r="BV76" s="23"/>
      <c r="BW76" s="21"/>
      <c r="BX76" s="21"/>
      <c r="BY76" s="21"/>
      <c r="BZ76" s="23"/>
      <c r="CA76" s="21"/>
      <c r="CB76" s="21"/>
      <c r="CC76" s="21"/>
      <c r="CD76" s="23"/>
      <c r="CE76" s="21"/>
      <c r="CF76" s="21"/>
      <c r="CG76" s="21"/>
      <c r="CH76" s="23"/>
      <c r="CI76" s="21"/>
      <c r="CJ76" s="21"/>
      <c r="CK76" s="21"/>
      <c r="CL76" s="23"/>
      <c r="CM76" s="21"/>
      <c r="CN76" s="21"/>
      <c r="CO76" s="21"/>
      <c r="CP76" s="23"/>
      <c r="CQ76" s="21"/>
      <c r="CR76" s="21"/>
      <c r="CS76" s="21"/>
      <c r="CT76" s="23"/>
      <c r="CU76" s="21"/>
      <c r="CV76" s="21"/>
      <c r="CW76" s="21"/>
      <c r="CX76" s="23"/>
      <c r="CY76" s="21"/>
      <c r="CZ76" s="21"/>
      <c r="DA76" s="21"/>
      <c r="DB76" s="23"/>
      <c r="DC76" s="21"/>
      <c r="DD76" s="21"/>
      <c r="DE76" s="21"/>
      <c r="DF76" s="23"/>
      <c r="DG76" s="21"/>
      <c r="DH76" s="21"/>
      <c r="DI76" s="21"/>
      <c r="DJ76" s="23"/>
      <c r="DK76" s="21"/>
      <c r="DL76" s="21"/>
      <c r="DM76" s="21"/>
      <c r="DN76" s="23"/>
      <c r="DO76" s="21"/>
      <c r="DP76" s="21"/>
      <c r="DQ76" s="21"/>
      <c r="DR76" s="23"/>
      <c r="DS76" s="21"/>
      <c r="DT76" s="21"/>
      <c r="DU76" s="21"/>
      <c r="DV76" s="23"/>
      <c r="DW76" s="32"/>
      <c r="DX76" s="32"/>
      <c r="DY76" s="31"/>
      <c r="DZ76" s="30"/>
      <c r="EA76" s="32"/>
      <c r="EB76" s="32"/>
      <c r="EC76" s="31"/>
      <c r="ED76" s="30"/>
      <c r="EE76" s="32"/>
      <c r="EF76" s="32"/>
      <c r="EG76" s="31"/>
      <c r="EH76" s="30"/>
      <c r="EI76" s="32"/>
      <c r="EJ76" s="32"/>
      <c r="EK76" s="31"/>
      <c r="EL76" s="30"/>
      <c r="EM76" s="32"/>
      <c r="EN76" s="32"/>
      <c r="EO76" s="31"/>
      <c r="EP76" s="30"/>
      <c r="EQ76" s="32"/>
      <c r="ER76" s="32"/>
      <c r="ES76" s="31"/>
      <c r="ET76" s="30"/>
      <c r="EU76" s="32"/>
      <c r="EV76" s="32"/>
      <c r="EW76" s="31"/>
      <c r="EX76" s="30"/>
      <c r="EY76" s="32"/>
      <c r="EZ76" s="32"/>
      <c r="FA76" s="31"/>
      <c r="FB76" s="30"/>
      <c r="FC76" s="32"/>
      <c r="FD76" s="32"/>
      <c r="FE76" s="31"/>
      <c r="FF76" s="30"/>
      <c r="FG76" s="32"/>
      <c r="FH76" s="32"/>
      <c r="FI76" s="31"/>
      <c r="FJ76" s="30"/>
      <c r="FK76" s="32"/>
      <c r="FL76" s="32"/>
      <c r="FM76" s="31"/>
      <c r="FN76" s="30"/>
      <c r="FO76" s="30"/>
      <c r="FP76" s="30"/>
      <c r="FQ76" s="30"/>
      <c r="FR76" s="30"/>
      <c r="FS76" s="30"/>
      <c r="FT76" s="30"/>
      <c r="FU76" s="30"/>
      <c r="FV76" s="30"/>
      <c r="FW76" s="30"/>
      <c r="FX76" s="30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  <c r="AAA76" s="3"/>
      <c r="AAB76" s="3"/>
      <c r="AAC76" s="3"/>
      <c r="AAD76" s="3"/>
      <c r="AAE76" s="3"/>
      <c r="AAF76" s="3"/>
      <c r="AAG76" s="3"/>
      <c r="AAH76" s="3"/>
      <c r="AAI76" s="3"/>
      <c r="AAJ76" s="3"/>
      <c r="AAK76" s="3"/>
      <c r="AAL76" s="3"/>
      <c r="AAM76" s="3"/>
    </row>
    <row r="77" spans="1:715" s="2" customFormat="1" ht="50" customHeight="1">
      <c r="A77" s="8"/>
      <c r="B77" s="12"/>
      <c r="C77" s="8"/>
      <c r="D77" s="8"/>
      <c r="E77" s="8"/>
      <c r="F77" s="23"/>
      <c r="G77" s="20"/>
      <c r="H77" s="27"/>
      <c r="I77" s="28"/>
      <c r="J77" s="28"/>
      <c r="K77" s="26"/>
      <c r="L77" s="26"/>
      <c r="M77" s="26"/>
      <c r="N77" s="26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1"/>
      <c r="AZ77" s="21"/>
      <c r="BA77" s="21"/>
      <c r="BB77" s="23"/>
      <c r="BC77" s="21"/>
      <c r="BD77" s="21"/>
      <c r="BE77" s="21"/>
      <c r="BF77" s="23"/>
      <c r="BG77" s="21"/>
      <c r="BH77" s="21"/>
      <c r="BI77" s="21"/>
      <c r="BJ77" s="23"/>
      <c r="BK77" s="21"/>
      <c r="BL77" s="21"/>
      <c r="BM77" s="21"/>
      <c r="BN77" s="23"/>
      <c r="BO77" s="21"/>
      <c r="BP77" s="21"/>
      <c r="BQ77" s="21"/>
      <c r="BR77" s="23"/>
      <c r="BS77" s="21"/>
      <c r="BT77" s="21"/>
      <c r="BU77" s="21"/>
      <c r="BV77" s="23"/>
      <c r="BW77" s="21"/>
      <c r="BX77" s="21"/>
      <c r="BY77" s="21"/>
      <c r="BZ77" s="23"/>
      <c r="CA77" s="21"/>
      <c r="CB77" s="21"/>
      <c r="CC77" s="21"/>
      <c r="CD77" s="23"/>
      <c r="CE77" s="21"/>
      <c r="CF77" s="21"/>
      <c r="CG77" s="21"/>
      <c r="CH77" s="23"/>
      <c r="CI77" s="21"/>
      <c r="CJ77" s="21"/>
      <c r="CK77" s="21"/>
      <c r="CL77" s="23"/>
      <c r="CM77" s="21"/>
      <c r="CN77" s="21"/>
      <c r="CO77" s="21"/>
      <c r="CP77" s="23"/>
      <c r="CQ77" s="21"/>
      <c r="CR77" s="21"/>
      <c r="CS77" s="21"/>
      <c r="CT77" s="23"/>
      <c r="CU77" s="21"/>
      <c r="CV77" s="21"/>
      <c r="CW77" s="21"/>
      <c r="CX77" s="23"/>
      <c r="CY77" s="21"/>
      <c r="CZ77" s="21"/>
      <c r="DA77" s="21"/>
      <c r="DB77" s="23"/>
      <c r="DC77" s="21"/>
      <c r="DD77" s="21"/>
      <c r="DE77" s="21"/>
      <c r="DF77" s="23"/>
      <c r="DG77" s="21"/>
      <c r="DH77" s="21"/>
      <c r="DI77" s="21"/>
      <c r="DJ77" s="23"/>
      <c r="DK77" s="21"/>
      <c r="DL77" s="21"/>
      <c r="DM77" s="21"/>
      <c r="DN77" s="23"/>
      <c r="DO77" s="21"/>
      <c r="DP77" s="21"/>
      <c r="DQ77" s="21"/>
      <c r="DR77" s="23"/>
      <c r="DS77" s="21"/>
      <c r="DT77" s="21"/>
      <c r="DU77" s="21"/>
      <c r="DV77" s="23"/>
      <c r="DW77" s="32"/>
      <c r="DX77" s="32"/>
      <c r="DY77" s="31"/>
      <c r="DZ77" s="30"/>
      <c r="EA77" s="32"/>
      <c r="EB77" s="32"/>
      <c r="EC77" s="31"/>
      <c r="ED77" s="30"/>
      <c r="EE77" s="32"/>
      <c r="EF77" s="32"/>
      <c r="EG77" s="31"/>
      <c r="EH77" s="30"/>
      <c r="EI77" s="32"/>
      <c r="EJ77" s="32"/>
      <c r="EK77" s="31"/>
      <c r="EL77" s="30"/>
      <c r="EM77" s="32"/>
      <c r="EN77" s="32"/>
      <c r="EO77" s="31"/>
      <c r="EP77" s="30"/>
      <c r="EQ77" s="32"/>
      <c r="ER77" s="32"/>
      <c r="ES77" s="31"/>
      <c r="ET77" s="30"/>
      <c r="EU77" s="32"/>
      <c r="EV77" s="32"/>
      <c r="EW77" s="31"/>
      <c r="EX77" s="30"/>
      <c r="EY77" s="32"/>
      <c r="EZ77" s="32"/>
      <c r="FA77" s="31"/>
      <c r="FB77" s="30"/>
      <c r="FC77" s="32"/>
      <c r="FD77" s="32"/>
      <c r="FE77" s="31"/>
      <c r="FF77" s="30"/>
      <c r="FG77" s="32"/>
      <c r="FH77" s="32"/>
      <c r="FI77" s="31"/>
      <c r="FJ77" s="30"/>
      <c r="FK77" s="32"/>
      <c r="FL77" s="32"/>
      <c r="FM77" s="31"/>
      <c r="FN77" s="30"/>
      <c r="FO77" s="30"/>
      <c r="FP77" s="30"/>
      <c r="FQ77" s="30"/>
      <c r="FR77" s="30"/>
      <c r="FS77" s="30"/>
      <c r="FT77" s="30"/>
      <c r="FU77" s="30"/>
      <c r="FV77" s="30"/>
      <c r="FW77" s="30"/>
      <c r="FX77" s="30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  <c r="AAA77" s="3"/>
      <c r="AAB77" s="3"/>
      <c r="AAC77" s="3"/>
      <c r="AAD77" s="3"/>
      <c r="AAE77" s="3"/>
      <c r="AAF77" s="3"/>
      <c r="AAG77" s="3"/>
      <c r="AAH77" s="3"/>
      <c r="AAI77" s="3"/>
      <c r="AAJ77" s="3"/>
      <c r="AAK77" s="3"/>
      <c r="AAL77" s="3"/>
      <c r="AAM77" s="3"/>
    </row>
    <row r="78" spans="1:715" s="2" customFormat="1" ht="50" customHeight="1">
      <c r="A78" s="8"/>
      <c r="B78" s="12"/>
      <c r="C78" s="8"/>
      <c r="D78" s="8"/>
      <c r="E78" s="8"/>
      <c r="F78" s="23"/>
      <c r="G78" s="20"/>
      <c r="H78" s="27"/>
      <c r="I78" s="28"/>
      <c r="J78" s="28"/>
      <c r="K78" s="26"/>
      <c r="L78" s="26"/>
      <c r="M78" s="26"/>
      <c r="N78" s="26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  <c r="DH78" s="23"/>
      <c r="DI78" s="23"/>
      <c r="DJ78" s="23"/>
      <c r="DK78" s="23"/>
      <c r="DL78" s="23"/>
      <c r="DM78" s="23"/>
      <c r="DN78" s="23"/>
      <c r="DO78" s="23"/>
      <c r="DP78" s="23"/>
      <c r="DQ78" s="23"/>
      <c r="DR78" s="23"/>
      <c r="DS78" s="23"/>
      <c r="DT78" s="23"/>
      <c r="DU78" s="23"/>
      <c r="DV78" s="23"/>
      <c r="DW78" s="30"/>
      <c r="DX78" s="3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30"/>
      <c r="ER78" s="3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/>
      <c r="FJ78" s="30"/>
      <c r="FK78" s="30"/>
      <c r="FL78" s="30"/>
      <c r="FM78" s="30"/>
      <c r="FN78" s="30"/>
      <c r="FO78" s="30"/>
      <c r="FP78" s="30"/>
      <c r="FQ78" s="30"/>
      <c r="FR78" s="30"/>
      <c r="FS78" s="30"/>
      <c r="FT78" s="30"/>
      <c r="FU78" s="30"/>
      <c r="FV78" s="30"/>
      <c r="FW78" s="30"/>
      <c r="FX78" s="30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  <c r="AAA78" s="3"/>
      <c r="AAB78" s="3"/>
      <c r="AAC78" s="3"/>
      <c r="AAD78" s="3"/>
      <c r="AAE78" s="3"/>
      <c r="AAF78" s="3"/>
      <c r="AAG78" s="3"/>
      <c r="AAH78" s="3"/>
      <c r="AAI78" s="3"/>
      <c r="AAJ78" s="3"/>
      <c r="AAK78" s="3"/>
      <c r="AAL78" s="3"/>
      <c r="AAM78" s="3"/>
    </row>
    <row r="79" spans="1:715" s="2" customFormat="1" ht="50" customHeight="1">
      <c r="A79" s="8"/>
      <c r="B79" s="12"/>
      <c r="C79" s="8"/>
      <c r="D79" s="8"/>
      <c r="E79" s="8"/>
      <c r="F79" s="23"/>
      <c r="G79" s="20"/>
      <c r="H79" s="27"/>
      <c r="I79" s="28"/>
      <c r="J79" s="28"/>
      <c r="K79" s="26"/>
      <c r="L79" s="26"/>
      <c r="M79" s="26"/>
      <c r="N79" s="26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  <c r="DH79" s="23"/>
      <c r="DI79" s="23"/>
      <c r="DJ79" s="23"/>
      <c r="DK79" s="23"/>
      <c r="DL79" s="23"/>
      <c r="DM79" s="23"/>
      <c r="DN79" s="23"/>
      <c r="DO79" s="23"/>
      <c r="DP79" s="23"/>
      <c r="DQ79" s="23"/>
      <c r="DR79" s="23"/>
      <c r="DS79" s="23"/>
      <c r="DT79" s="23"/>
      <c r="DU79" s="23"/>
      <c r="DV79" s="23"/>
      <c r="DW79" s="30"/>
      <c r="DX79" s="30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0"/>
      <c r="EK79" s="30"/>
      <c r="EL79" s="30"/>
      <c r="EM79" s="30"/>
      <c r="EN79" s="30"/>
      <c r="EO79" s="30"/>
      <c r="EP79" s="30"/>
      <c r="EQ79" s="30"/>
      <c r="ER79" s="30"/>
      <c r="ES79" s="30"/>
      <c r="ET79" s="30"/>
      <c r="EU79" s="30"/>
      <c r="EV79" s="30"/>
      <c r="EW79" s="30"/>
      <c r="EX79" s="30"/>
      <c r="EY79" s="30"/>
      <c r="EZ79" s="30"/>
      <c r="FA79" s="30"/>
      <c r="FB79" s="30"/>
      <c r="FC79" s="30"/>
      <c r="FD79" s="30"/>
      <c r="FE79" s="30"/>
      <c r="FF79" s="30"/>
      <c r="FG79" s="30"/>
      <c r="FH79" s="30"/>
      <c r="FI79" s="30"/>
      <c r="FJ79" s="30"/>
      <c r="FK79" s="30"/>
      <c r="FL79" s="30"/>
      <c r="FM79" s="30"/>
      <c r="FN79" s="30"/>
      <c r="FO79" s="30"/>
      <c r="FP79" s="30"/>
      <c r="FQ79" s="30"/>
      <c r="FR79" s="30"/>
      <c r="FS79" s="30"/>
      <c r="FT79" s="30"/>
      <c r="FU79" s="30"/>
      <c r="FV79" s="30"/>
      <c r="FW79" s="30"/>
      <c r="FX79" s="30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  <c r="AAA79" s="3"/>
      <c r="AAB79" s="3"/>
      <c r="AAC79" s="3"/>
      <c r="AAD79" s="3"/>
      <c r="AAE79" s="3"/>
      <c r="AAF79" s="3"/>
      <c r="AAG79" s="3"/>
      <c r="AAH79" s="3"/>
      <c r="AAI79" s="3"/>
      <c r="AAJ79" s="3"/>
      <c r="AAK79" s="3"/>
      <c r="AAL79" s="3"/>
      <c r="AAM79" s="3"/>
    </row>
    <row r="80" spans="1:715" s="2" customFormat="1" ht="50" customHeight="1">
      <c r="A80" s="8"/>
      <c r="B80" s="12"/>
      <c r="C80" s="8"/>
      <c r="D80" s="8"/>
      <c r="E80" s="8"/>
      <c r="F80" s="23"/>
      <c r="G80" s="20"/>
      <c r="H80" s="27"/>
      <c r="I80" s="28"/>
      <c r="J80" s="28"/>
      <c r="K80" s="26"/>
      <c r="L80" s="26"/>
      <c r="M80" s="26"/>
      <c r="N80" s="26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1"/>
      <c r="CN80" s="21"/>
      <c r="CO80" s="21"/>
      <c r="CP80" s="23"/>
      <c r="CQ80" s="21"/>
      <c r="CR80" s="21"/>
      <c r="CS80" s="21"/>
      <c r="CT80" s="23"/>
      <c r="CU80" s="21"/>
      <c r="CV80" s="21"/>
      <c r="CW80" s="21"/>
      <c r="CX80" s="23"/>
      <c r="CY80" s="21"/>
      <c r="CZ80" s="21"/>
      <c r="DA80" s="21"/>
      <c r="DB80" s="23"/>
      <c r="DC80" s="21"/>
      <c r="DD80" s="21"/>
      <c r="DE80" s="21"/>
      <c r="DF80" s="23"/>
      <c r="DG80" s="21"/>
      <c r="DH80" s="21"/>
      <c r="DI80" s="21"/>
      <c r="DJ80" s="23"/>
      <c r="DK80" s="21"/>
      <c r="DL80" s="21"/>
      <c r="DM80" s="21"/>
      <c r="DN80" s="23"/>
      <c r="DO80" s="21"/>
      <c r="DP80" s="21"/>
      <c r="DQ80" s="21"/>
      <c r="DR80" s="23"/>
      <c r="DS80" s="21"/>
      <c r="DT80" s="21"/>
      <c r="DU80" s="21"/>
      <c r="DV80" s="23"/>
      <c r="DW80" s="32"/>
      <c r="DX80" s="32"/>
      <c r="DY80" s="31"/>
      <c r="DZ80" s="30"/>
      <c r="EA80" s="32"/>
      <c r="EB80" s="32"/>
      <c r="EC80" s="31"/>
      <c r="ED80" s="30"/>
      <c r="EE80" s="32"/>
      <c r="EF80" s="32"/>
      <c r="EG80" s="31"/>
      <c r="EH80" s="30"/>
      <c r="EI80" s="32"/>
      <c r="EJ80" s="32"/>
      <c r="EK80" s="31"/>
      <c r="EL80" s="30"/>
      <c r="EM80" s="32"/>
      <c r="EN80" s="32"/>
      <c r="EO80" s="31"/>
      <c r="EP80" s="30"/>
      <c r="EQ80" s="32"/>
      <c r="ER80" s="32"/>
      <c r="ES80" s="31"/>
      <c r="ET80" s="30"/>
      <c r="EU80" s="32"/>
      <c r="EV80" s="32"/>
      <c r="EW80" s="31"/>
      <c r="EX80" s="30"/>
      <c r="EY80" s="32"/>
      <c r="EZ80" s="32"/>
      <c r="FA80" s="31"/>
      <c r="FB80" s="30"/>
      <c r="FC80" s="32"/>
      <c r="FD80" s="32"/>
      <c r="FE80" s="31"/>
      <c r="FF80" s="30"/>
      <c r="FG80" s="32"/>
      <c r="FH80" s="32"/>
      <c r="FI80" s="31"/>
      <c r="FJ80" s="30"/>
      <c r="FK80" s="32"/>
      <c r="FL80" s="32"/>
      <c r="FM80" s="31"/>
      <c r="FN80" s="30"/>
      <c r="FO80" s="30"/>
      <c r="FP80" s="30"/>
      <c r="FQ80" s="30"/>
      <c r="FR80" s="30"/>
      <c r="FS80" s="30"/>
      <c r="FT80" s="30"/>
      <c r="FU80" s="30"/>
      <c r="FV80" s="30"/>
      <c r="FW80" s="30"/>
      <c r="FX80" s="30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  <c r="AAA80" s="3"/>
      <c r="AAB80" s="3"/>
      <c r="AAC80" s="3"/>
      <c r="AAD80" s="3"/>
      <c r="AAE80" s="3"/>
      <c r="AAF80" s="3"/>
      <c r="AAG80" s="3"/>
      <c r="AAH80" s="3"/>
      <c r="AAI80" s="3"/>
      <c r="AAJ80" s="3"/>
      <c r="AAK80" s="3"/>
      <c r="AAL80" s="3"/>
      <c r="AAM80" s="3"/>
    </row>
    <row r="81" spans="1:715" s="2" customFormat="1" ht="50" customHeight="1">
      <c r="A81" s="8"/>
      <c r="B81" s="12"/>
      <c r="C81" s="8"/>
      <c r="D81" s="8"/>
      <c r="E81" s="8"/>
      <c r="F81" s="23"/>
      <c r="G81" s="20"/>
      <c r="H81" s="27"/>
      <c r="I81" s="28"/>
      <c r="J81" s="28"/>
      <c r="K81" s="26"/>
      <c r="L81" s="26"/>
      <c r="M81" s="26"/>
      <c r="N81" s="26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1"/>
      <c r="CN81" s="21"/>
      <c r="CO81" s="21"/>
      <c r="CP81" s="23"/>
      <c r="CQ81" s="21"/>
      <c r="CR81" s="21"/>
      <c r="CS81" s="21"/>
      <c r="CT81" s="23"/>
      <c r="CU81" s="21"/>
      <c r="CV81" s="21"/>
      <c r="CW81" s="21"/>
      <c r="CX81" s="23"/>
      <c r="CY81" s="21"/>
      <c r="CZ81" s="21"/>
      <c r="DA81" s="21"/>
      <c r="DB81" s="23"/>
      <c r="DC81" s="21"/>
      <c r="DD81" s="21"/>
      <c r="DE81" s="21"/>
      <c r="DF81" s="23"/>
      <c r="DG81" s="21"/>
      <c r="DH81" s="21"/>
      <c r="DI81" s="21"/>
      <c r="DJ81" s="23"/>
      <c r="DK81" s="21"/>
      <c r="DL81" s="21"/>
      <c r="DM81" s="21"/>
      <c r="DN81" s="23"/>
      <c r="DO81" s="21"/>
      <c r="DP81" s="21"/>
      <c r="DQ81" s="21"/>
      <c r="DR81" s="23"/>
      <c r="DS81" s="21"/>
      <c r="DT81" s="21"/>
      <c r="DU81" s="21"/>
      <c r="DV81" s="23"/>
      <c r="DW81" s="32"/>
      <c r="DX81" s="32"/>
      <c r="DY81" s="31"/>
      <c r="DZ81" s="30"/>
      <c r="EA81" s="32"/>
      <c r="EB81" s="32"/>
      <c r="EC81" s="31"/>
      <c r="ED81" s="30"/>
      <c r="EE81" s="32"/>
      <c r="EF81" s="32"/>
      <c r="EG81" s="31"/>
      <c r="EH81" s="30"/>
      <c r="EI81" s="32"/>
      <c r="EJ81" s="32"/>
      <c r="EK81" s="31"/>
      <c r="EL81" s="30"/>
      <c r="EM81" s="32"/>
      <c r="EN81" s="32"/>
      <c r="EO81" s="31"/>
      <c r="EP81" s="30"/>
      <c r="EQ81" s="32"/>
      <c r="ER81" s="32"/>
      <c r="ES81" s="31"/>
      <c r="ET81" s="30"/>
      <c r="EU81" s="32"/>
      <c r="EV81" s="32"/>
      <c r="EW81" s="31"/>
      <c r="EX81" s="30"/>
      <c r="EY81" s="32"/>
      <c r="EZ81" s="32"/>
      <c r="FA81" s="31"/>
      <c r="FB81" s="30"/>
      <c r="FC81" s="32"/>
      <c r="FD81" s="32"/>
      <c r="FE81" s="31"/>
      <c r="FF81" s="30"/>
      <c r="FG81" s="32"/>
      <c r="FH81" s="32"/>
      <c r="FI81" s="31"/>
      <c r="FJ81" s="30"/>
      <c r="FK81" s="32"/>
      <c r="FL81" s="32"/>
      <c r="FM81" s="31"/>
      <c r="FN81" s="30"/>
      <c r="FO81" s="30"/>
      <c r="FP81" s="30"/>
      <c r="FQ81" s="30"/>
      <c r="FR81" s="30"/>
      <c r="FS81" s="30"/>
      <c r="FT81" s="30"/>
      <c r="FU81" s="30"/>
      <c r="FV81" s="30"/>
      <c r="FW81" s="30"/>
      <c r="FX81" s="30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  <c r="AAA81" s="3"/>
      <c r="AAB81" s="3"/>
      <c r="AAC81" s="3"/>
      <c r="AAD81" s="3"/>
      <c r="AAE81" s="3"/>
      <c r="AAF81" s="3"/>
      <c r="AAG81" s="3"/>
      <c r="AAH81" s="3"/>
      <c r="AAI81" s="3"/>
      <c r="AAJ81" s="3"/>
      <c r="AAK81" s="3"/>
      <c r="AAL81" s="3"/>
      <c r="AAM81" s="3"/>
    </row>
    <row r="82" spans="1:715" s="2" customFormat="1" ht="50" customHeight="1">
      <c r="A82" s="8"/>
      <c r="B82" s="12"/>
      <c r="C82" s="8"/>
      <c r="D82" s="8"/>
      <c r="E82" s="8"/>
      <c r="F82" s="23"/>
      <c r="G82" s="20"/>
      <c r="H82" s="27"/>
      <c r="I82" s="28"/>
      <c r="J82" s="28"/>
      <c r="K82" s="26"/>
      <c r="L82" s="26"/>
      <c r="M82" s="26"/>
      <c r="N82" s="26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23"/>
      <c r="DP82" s="23"/>
      <c r="DQ82" s="23"/>
      <c r="DR82" s="23"/>
      <c r="DS82" s="23"/>
      <c r="DT82" s="23"/>
      <c r="DU82" s="23"/>
      <c r="DV82" s="23"/>
      <c r="DW82" s="30"/>
      <c r="DX82" s="30"/>
      <c r="DY82" s="30"/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0"/>
      <c r="EK82" s="30"/>
      <c r="EL82" s="30"/>
      <c r="EM82" s="30"/>
      <c r="EN82" s="30"/>
      <c r="EO82" s="30"/>
      <c r="EP82" s="30"/>
      <c r="EQ82" s="30"/>
      <c r="ER82" s="30"/>
      <c r="ES82" s="30"/>
      <c r="ET82" s="30"/>
      <c r="EU82" s="30"/>
      <c r="EV82" s="30"/>
      <c r="EW82" s="30"/>
      <c r="EX82" s="30"/>
      <c r="EY82" s="30"/>
      <c r="EZ82" s="30"/>
      <c r="FA82" s="30"/>
      <c r="FB82" s="30"/>
      <c r="FC82" s="30"/>
      <c r="FD82" s="30"/>
      <c r="FE82" s="30"/>
      <c r="FF82" s="30"/>
      <c r="FG82" s="30"/>
      <c r="FH82" s="30"/>
      <c r="FI82" s="30"/>
      <c r="FJ82" s="30"/>
      <c r="FK82" s="30"/>
      <c r="FL82" s="30"/>
      <c r="FM82" s="30"/>
      <c r="FN82" s="30"/>
      <c r="FO82" s="30"/>
      <c r="FP82" s="30"/>
      <c r="FQ82" s="30"/>
      <c r="FR82" s="30"/>
      <c r="FS82" s="30"/>
      <c r="FT82" s="30"/>
      <c r="FU82" s="30"/>
      <c r="FV82" s="30"/>
      <c r="FW82" s="30"/>
      <c r="FX82" s="30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  <c r="AAA82" s="3"/>
      <c r="AAB82" s="3"/>
      <c r="AAC82" s="3"/>
      <c r="AAD82" s="3"/>
      <c r="AAE82" s="3"/>
      <c r="AAF82" s="3"/>
      <c r="AAG82" s="3"/>
      <c r="AAH82" s="3"/>
      <c r="AAI82" s="3"/>
      <c r="AAJ82" s="3"/>
      <c r="AAK82" s="3"/>
      <c r="AAL82" s="3"/>
      <c r="AAM82" s="3"/>
    </row>
    <row r="83" spans="1:715" s="2" customFormat="1" ht="50" customHeight="1">
      <c r="A83" s="8"/>
      <c r="B83" s="12"/>
      <c r="C83" s="8"/>
      <c r="D83" s="8"/>
      <c r="E83" s="8"/>
      <c r="F83" s="23"/>
      <c r="G83" s="20"/>
      <c r="H83" s="27"/>
      <c r="I83" s="28"/>
      <c r="J83" s="28"/>
      <c r="K83" s="26"/>
      <c r="L83" s="26"/>
      <c r="M83" s="26"/>
      <c r="N83" s="26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/>
      <c r="DP83" s="23"/>
      <c r="DQ83" s="23"/>
      <c r="DR83" s="23"/>
      <c r="DS83" s="23"/>
      <c r="DT83" s="23"/>
      <c r="DU83" s="23"/>
      <c r="DV83" s="23"/>
      <c r="DW83" s="30"/>
      <c r="DX83" s="3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30"/>
      <c r="ER83" s="3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/>
      <c r="FJ83" s="30"/>
      <c r="FK83" s="30"/>
      <c r="FL83" s="30"/>
      <c r="FM83" s="30"/>
      <c r="FN83" s="30"/>
      <c r="FO83" s="30"/>
      <c r="FP83" s="30"/>
      <c r="FQ83" s="30"/>
      <c r="FR83" s="30"/>
      <c r="FS83" s="30"/>
      <c r="FT83" s="30"/>
      <c r="FU83" s="30"/>
      <c r="FV83" s="30"/>
      <c r="FW83" s="30"/>
      <c r="FX83" s="30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  <c r="AAA83" s="3"/>
      <c r="AAB83" s="3"/>
      <c r="AAC83" s="3"/>
      <c r="AAD83" s="3"/>
      <c r="AAE83" s="3"/>
      <c r="AAF83" s="3"/>
      <c r="AAG83" s="3"/>
      <c r="AAH83" s="3"/>
      <c r="AAI83" s="3"/>
      <c r="AAJ83" s="3"/>
      <c r="AAK83" s="3"/>
      <c r="AAL83" s="3"/>
      <c r="AAM83" s="3"/>
    </row>
    <row r="84" spans="1:715" s="2" customFormat="1" ht="50" customHeight="1">
      <c r="A84" s="8"/>
      <c r="B84" s="12"/>
      <c r="C84" s="8"/>
      <c r="D84" s="8"/>
      <c r="E84" s="8"/>
      <c r="F84" s="23"/>
      <c r="G84" s="20"/>
      <c r="H84" s="27"/>
      <c r="I84" s="28"/>
      <c r="J84" s="28"/>
      <c r="K84" s="26"/>
      <c r="L84" s="26"/>
      <c r="M84" s="26"/>
      <c r="N84" s="26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1"/>
      <c r="CN84" s="21"/>
      <c r="CO84" s="21"/>
      <c r="CP84" s="23"/>
      <c r="CQ84" s="21"/>
      <c r="CR84" s="21"/>
      <c r="CS84" s="21"/>
      <c r="CT84" s="23"/>
      <c r="CU84" s="21"/>
      <c r="CV84" s="21"/>
      <c r="CW84" s="21"/>
      <c r="CX84" s="23"/>
      <c r="CY84" s="21"/>
      <c r="CZ84" s="21"/>
      <c r="DA84" s="21"/>
      <c r="DB84" s="23"/>
      <c r="DC84" s="21"/>
      <c r="DD84" s="21"/>
      <c r="DE84" s="21"/>
      <c r="DF84" s="23"/>
      <c r="DG84" s="21"/>
      <c r="DH84" s="21"/>
      <c r="DI84" s="21"/>
      <c r="DJ84" s="23"/>
      <c r="DK84" s="21"/>
      <c r="DL84" s="21"/>
      <c r="DM84" s="21"/>
      <c r="DN84" s="23"/>
      <c r="DO84" s="21"/>
      <c r="DP84" s="21"/>
      <c r="DQ84" s="21"/>
      <c r="DR84" s="23"/>
      <c r="DS84" s="21"/>
      <c r="DT84" s="21"/>
      <c r="DU84" s="21"/>
      <c r="DV84" s="23"/>
      <c r="DW84" s="32"/>
      <c r="DX84" s="32"/>
      <c r="DY84" s="31"/>
      <c r="DZ84" s="30"/>
      <c r="EA84" s="32"/>
      <c r="EB84" s="32"/>
      <c r="EC84" s="31"/>
      <c r="ED84" s="30"/>
      <c r="EE84" s="32"/>
      <c r="EF84" s="32"/>
      <c r="EG84" s="31"/>
      <c r="EH84" s="30"/>
      <c r="EI84" s="32"/>
      <c r="EJ84" s="32"/>
      <c r="EK84" s="31"/>
      <c r="EL84" s="30"/>
      <c r="EM84" s="32"/>
      <c r="EN84" s="32"/>
      <c r="EO84" s="31"/>
      <c r="EP84" s="30"/>
      <c r="EQ84" s="32"/>
      <c r="ER84" s="32"/>
      <c r="ES84" s="31"/>
      <c r="ET84" s="30"/>
      <c r="EU84" s="32"/>
      <c r="EV84" s="32"/>
      <c r="EW84" s="31"/>
      <c r="EX84" s="30"/>
      <c r="EY84" s="32"/>
      <c r="EZ84" s="32"/>
      <c r="FA84" s="31"/>
      <c r="FB84" s="30"/>
      <c r="FC84" s="32"/>
      <c r="FD84" s="32"/>
      <c r="FE84" s="31"/>
      <c r="FF84" s="30"/>
      <c r="FG84" s="32"/>
      <c r="FH84" s="32"/>
      <c r="FI84" s="31"/>
      <c r="FJ84" s="30"/>
      <c r="FK84" s="32"/>
      <c r="FL84" s="32"/>
      <c r="FM84" s="31"/>
      <c r="FN84" s="30"/>
      <c r="FO84" s="30"/>
      <c r="FP84" s="30"/>
      <c r="FQ84" s="30"/>
      <c r="FR84" s="30"/>
      <c r="FS84" s="30"/>
      <c r="FT84" s="30"/>
      <c r="FU84" s="30"/>
      <c r="FV84" s="30"/>
      <c r="FW84" s="30"/>
      <c r="FX84" s="30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  <c r="AAA84" s="3"/>
      <c r="AAB84" s="3"/>
      <c r="AAC84" s="3"/>
      <c r="AAD84" s="3"/>
      <c r="AAE84" s="3"/>
      <c r="AAF84" s="3"/>
      <c r="AAG84" s="3"/>
      <c r="AAH84" s="3"/>
      <c r="AAI84" s="3"/>
      <c r="AAJ84" s="3"/>
      <c r="AAK84" s="3"/>
      <c r="AAL84" s="3"/>
      <c r="AAM84" s="3"/>
    </row>
    <row r="85" spans="1:715" s="2" customFormat="1" ht="50" customHeight="1">
      <c r="A85" s="8"/>
      <c r="B85" s="12"/>
      <c r="C85" s="8"/>
      <c r="D85" s="8"/>
      <c r="E85" s="8"/>
      <c r="F85" s="23"/>
      <c r="G85" s="20"/>
      <c r="H85" s="27"/>
      <c r="I85" s="28"/>
      <c r="J85" s="28"/>
      <c r="K85" s="26"/>
      <c r="L85" s="26"/>
      <c r="M85" s="26"/>
      <c r="N85" s="26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1"/>
      <c r="CN85" s="21"/>
      <c r="CO85" s="21"/>
      <c r="CP85" s="23"/>
      <c r="CQ85" s="21"/>
      <c r="CR85" s="21"/>
      <c r="CS85" s="21"/>
      <c r="CT85" s="23"/>
      <c r="CU85" s="21"/>
      <c r="CV85" s="21"/>
      <c r="CW85" s="21"/>
      <c r="CX85" s="23"/>
      <c r="CY85" s="21"/>
      <c r="CZ85" s="21"/>
      <c r="DA85" s="21"/>
      <c r="DB85" s="23"/>
      <c r="DC85" s="21"/>
      <c r="DD85" s="21"/>
      <c r="DE85" s="21"/>
      <c r="DF85" s="23"/>
      <c r="DG85" s="21"/>
      <c r="DH85" s="21"/>
      <c r="DI85" s="21"/>
      <c r="DJ85" s="23"/>
      <c r="DK85" s="21"/>
      <c r="DL85" s="21"/>
      <c r="DM85" s="21"/>
      <c r="DN85" s="23"/>
      <c r="DO85" s="21"/>
      <c r="DP85" s="21"/>
      <c r="DQ85" s="21"/>
      <c r="DR85" s="23"/>
      <c r="DS85" s="21"/>
      <c r="DT85" s="21"/>
      <c r="DU85" s="21"/>
      <c r="DV85" s="23"/>
      <c r="DW85" s="32"/>
      <c r="DX85" s="32"/>
      <c r="DY85" s="31"/>
      <c r="DZ85" s="30"/>
      <c r="EA85" s="32"/>
      <c r="EB85" s="32"/>
      <c r="EC85" s="31"/>
      <c r="ED85" s="30"/>
      <c r="EE85" s="32"/>
      <c r="EF85" s="32"/>
      <c r="EG85" s="31"/>
      <c r="EH85" s="30"/>
      <c r="EI85" s="32"/>
      <c r="EJ85" s="32"/>
      <c r="EK85" s="31"/>
      <c r="EL85" s="30"/>
      <c r="EM85" s="32"/>
      <c r="EN85" s="32"/>
      <c r="EO85" s="31"/>
      <c r="EP85" s="30"/>
      <c r="EQ85" s="32"/>
      <c r="ER85" s="32"/>
      <c r="ES85" s="31"/>
      <c r="ET85" s="30"/>
      <c r="EU85" s="32"/>
      <c r="EV85" s="32"/>
      <c r="EW85" s="31"/>
      <c r="EX85" s="30"/>
      <c r="EY85" s="32"/>
      <c r="EZ85" s="32"/>
      <c r="FA85" s="31"/>
      <c r="FB85" s="30"/>
      <c r="FC85" s="32"/>
      <c r="FD85" s="32"/>
      <c r="FE85" s="31"/>
      <c r="FF85" s="30"/>
      <c r="FG85" s="32"/>
      <c r="FH85" s="32"/>
      <c r="FI85" s="31"/>
      <c r="FJ85" s="30"/>
      <c r="FK85" s="32"/>
      <c r="FL85" s="32"/>
      <c r="FM85" s="31"/>
      <c r="FN85" s="30"/>
      <c r="FO85" s="30"/>
      <c r="FP85" s="30"/>
      <c r="FQ85" s="30"/>
      <c r="FR85" s="30"/>
      <c r="FS85" s="30"/>
      <c r="FT85" s="30"/>
      <c r="FU85" s="30"/>
      <c r="FV85" s="30"/>
      <c r="FW85" s="30"/>
      <c r="FX85" s="30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  <c r="AAA85" s="3"/>
      <c r="AAB85" s="3"/>
      <c r="AAC85" s="3"/>
      <c r="AAD85" s="3"/>
      <c r="AAE85" s="3"/>
      <c r="AAF85" s="3"/>
      <c r="AAG85" s="3"/>
      <c r="AAH85" s="3"/>
      <c r="AAI85" s="3"/>
      <c r="AAJ85" s="3"/>
      <c r="AAK85" s="3"/>
      <c r="AAL85" s="3"/>
      <c r="AAM85" s="3"/>
    </row>
    <row r="86" spans="1:715" s="2" customFormat="1" ht="50" customHeight="1">
      <c r="A86" s="8"/>
      <c r="B86" s="12"/>
      <c r="C86" s="8"/>
      <c r="D86" s="8"/>
      <c r="E86" s="8"/>
      <c r="F86" s="23"/>
      <c r="G86" s="20"/>
      <c r="H86" s="27"/>
      <c r="I86" s="28"/>
      <c r="J86" s="28"/>
      <c r="K86" s="26"/>
      <c r="L86" s="26"/>
      <c r="M86" s="26"/>
      <c r="N86" s="26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  <c r="DH86" s="23"/>
      <c r="DI86" s="23"/>
      <c r="DJ86" s="23"/>
      <c r="DK86" s="23"/>
      <c r="DL86" s="23"/>
      <c r="DM86" s="23"/>
      <c r="DN86" s="23"/>
      <c r="DO86" s="23"/>
      <c r="DP86" s="23"/>
      <c r="DQ86" s="23"/>
      <c r="DR86" s="23"/>
      <c r="DS86" s="23"/>
      <c r="DT86" s="23"/>
      <c r="DU86" s="23"/>
      <c r="DV86" s="23"/>
      <c r="DW86" s="30"/>
      <c r="DX86" s="3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30"/>
      <c r="ER86" s="3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/>
      <c r="FJ86" s="30"/>
      <c r="FK86" s="30"/>
      <c r="FL86" s="30"/>
      <c r="FM86" s="30"/>
      <c r="FN86" s="30"/>
      <c r="FO86" s="30"/>
      <c r="FP86" s="30"/>
      <c r="FQ86" s="30"/>
      <c r="FR86" s="30"/>
      <c r="FS86" s="30"/>
      <c r="FT86" s="30"/>
      <c r="FU86" s="30"/>
      <c r="FV86" s="30"/>
      <c r="FW86" s="30"/>
      <c r="FX86" s="30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  <c r="AAA86" s="3"/>
      <c r="AAB86" s="3"/>
      <c r="AAC86" s="3"/>
      <c r="AAD86" s="3"/>
      <c r="AAE86" s="3"/>
      <c r="AAF86" s="3"/>
      <c r="AAG86" s="3"/>
      <c r="AAH86" s="3"/>
      <c r="AAI86" s="3"/>
      <c r="AAJ86" s="3"/>
      <c r="AAK86" s="3"/>
      <c r="AAL86" s="3"/>
      <c r="AAM86" s="3"/>
    </row>
    <row r="87" spans="1:715" s="2" customFormat="1" ht="50" customHeight="1">
      <c r="A87" s="8"/>
      <c r="B87" s="12"/>
      <c r="C87" s="8"/>
      <c r="D87" s="8"/>
      <c r="E87" s="8"/>
      <c r="F87" s="23"/>
      <c r="G87" s="21"/>
      <c r="H87" s="21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3"/>
      <c r="DH87" s="23"/>
      <c r="DI87" s="23"/>
      <c r="DJ87" s="23"/>
      <c r="DK87" s="23"/>
      <c r="DL87" s="23"/>
      <c r="DM87" s="23"/>
      <c r="DN87" s="23"/>
      <c r="DO87" s="23"/>
      <c r="DP87" s="23"/>
      <c r="DQ87" s="23"/>
      <c r="DR87" s="23"/>
      <c r="DS87" s="23"/>
      <c r="DT87" s="23"/>
      <c r="DU87" s="23"/>
      <c r="DV87" s="23"/>
      <c r="DW87" s="30"/>
      <c r="DX87" s="3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30"/>
      <c r="ER87" s="3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/>
      <c r="FJ87" s="30"/>
      <c r="FK87" s="30"/>
      <c r="FL87" s="30"/>
      <c r="FM87" s="30"/>
      <c r="FN87" s="30"/>
      <c r="FO87" s="30"/>
      <c r="FP87" s="30"/>
      <c r="FQ87" s="30"/>
      <c r="FR87" s="30"/>
      <c r="FS87" s="30"/>
      <c r="FT87" s="30"/>
      <c r="FU87" s="30"/>
      <c r="FV87" s="30"/>
      <c r="FW87" s="30"/>
      <c r="FX87" s="30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  <c r="AAA87" s="3"/>
      <c r="AAB87" s="3"/>
      <c r="AAC87" s="3"/>
      <c r="AAD87" s="3"/>
      <c r="AAE87" s="3"/>
      <c r="AAF87" s="3"/>
      <c r="AAG87" s="3"/>
      <c r="AAH87" s="3"/>
      <c r="AAI87" s="3"/>
      <c r="AAJ87" s="3"/>
      <c r="AAK87" s="3"/>
      <c r="AAL87" s="3"/>
      <c r="AAM87" s="3"/>
    </row>
    <row r="88" spans="1:715" s="2" customFormat="1" ht="50" customHeight="1">
      <c r="A88" s="8"/>
      <c r="B88" s="12"/>
      <c r="C88" s="8"/>
      <c r="D88" s="8"/>
      <c r="E88" s="8"/>
      <c r="F88" s="23"/>
      <c r="G88" s="21"/>
      <c r="H88" s="21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1"/>
      <c r="CN88" s="21"/>
      <c r="CO88" s="21"/>
      <c r="CP88" s="23"/>
      <c r="CQ88" s="21"/>
      <c r="CR88" s="21"/>
      <c r="CS88" s="21"/>
      <c r="CT88" s="23"/>
      <c r="CU88" s="21"/>
      <c r="CV88" s="21"/>
      <c r="CW88" s="21"/>
      <c r="CX88" s="23"/>
      <c r="CY88" s="21"/>
      <c r="CZ88" s="21"/>
      <c r="DA88" s="21"/>
      <c r="DB88" s="23"/>
      <c r="DC88" s="21"/>
      <c r="DD88" s="21"/>
      <c r="DE88" s="21"/>
      <c r="DF88" s="23"/>
      <c r="DG88" s="21"/>
      <c r="DH88" s="21"/>
      <c r="DI88" s="21"/>
      <c r="DJ88" s="23"/>
      <c r="DK88" s="21"/>
      <c r="DL88" s="21"/>
      <c r="DM88" s="21"/>
      <c r="DN88" s="23"/>
      <c r="DO88" s="21"/>
      <c r="DP88" s="21"/>
      <c r="DQ88" s="21"/>
      <c r="DR88" s="23"/>
      <c r="DS88" s="21"/>
      <c r="DT88" s="21"/>
      <c r="DU88" s="21"/>
      <c r="DV88" s="23"/>
      <c r="DW88" s="32"/>
      <c r="DX88" s="32"/>
      <c r="DY88" s="31"/>
      <c r="DZ88" s="30"/>
      <c r="EA88" s="32"/>
      <c r="EB88" s="32"/>
      <c r="EC88" s="31"/>
      <c r="ED88" s="30"/>
      <c r="EE88" s="32"/>
      <c r="EF88" s="32"/>
      <c r="EG88" s="31"/>
      <c r="EH88" s="30"/>
      <c r="EI88" s="32"/>
      <c r="EJ88" s="32"/>
      <c r="EK88" s="31"/>
      <c r="EL88" s="30"/>
      <c r="EM88" s="32"/>
      <c r="EN88" s="32"/>
      <c r="EO88" s="31"/>
      <c r="EP88" s="30"/>
      <c r="EQ88" s="32"/>
      <c r="ER88" s="32"/>
      <c r="ES88" s="31"/>
      <c r="ET88" s="30"/>
      <c r="EU88" s="32"/>
      <c r="EV88" s="32"/>
      <c r="EW88" s="31"/>
      <c r="EX88" s="30"/>
      <c r="EY88" s="32"/>
      <c r="EZ88" s="32"/>
      <c r="FA88" s="31"/>
      <c r="FB88" s="30"/>
      <c r="FC88" s="32"/>
      <c r="FD88" s="32"/>
      <c r="FE88" s="31"/>
      <c r="FF88" s="30"/>
      <c r="FG88" s="32"/>
      <c r="FH88" s="32"/>
      <c r="FI88" s="31"/>
      <c r="FJ88" s="30"/>
      <c r="FK88" s="32"/>
      <c r="FL88" s="32"/>
      <c r="FM88" s="31"/>
      <c r="FN88" s="30"/>
      <c r="FO88" s="30"/>
      <c r="FP88" s="30"/>
      <c r="FQ88" s="30"/>
      <c r="FR88" s="30"/>
      <c r="FS88" s="30"/>
      <c r="FT88" s="30"/>
      <c r="FU88" s="30"/>
      <c r="FV88" s="30"/>
      <c r="FW88" s="30"/>
      <c r="FX88" s="30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  <c r="AAA88" s="3"/>
      <c r="AAB88" s="3"/>
      <c r="AAC88" s="3"/>
      <c r="AAD88" s="3"/>
      <c r="AAE88" s="3"/>
      <c r="AAF88" s="3"/>
      <c r="AAG88" s="3"/>
      <c r="AAH88" s="3"/>
      <c r="AAI88" s="3"/>
      <c r="AAJ88" s="3"/>
      <c r="AAK88" s="3"/>
      <c r="AAL88" s="3"/>
      <c r="AAM88" s="3"/>
    </row>
    <row r="89" spans="1:715" s="2" customFormat="1" ht="50" customHeight="1">
      <c r="A89" s="8"/>
      <c r="B89" s="12"/>
      <c r="C89" s="8"/>
      <c r="D89" s="8"/>
      <c r="E89" s="8"/>
      <c r="F89" s="23"/>
      <c r="G89" s="21"/>
      <c r="H89" s="21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1"/>
      <c r="CN89" s="21"/>
      <c r="CO89" s="21"/>
      <c r="CP89" s="23"/>
      <c r="CQ89" s="21"/>
      <c r="CR89" s="21"/>
      <c r="CS89" s="21"/>
      <c r="CT89" s="23"/>
      <c r="CU89" s="21"/>
      <c r="CV89" s="21"/>
      <c r="CW89" s="21"/>
      <c r="CX89" s="23"/>
      <c r="CY89" s="21"/>
      <c r="CZ89" s="21"/>
      <c r="DA89" s="21"/>
      <c r="DB89" s="23"/>
      <c r="DC89" s="21"/>
      <c r="DD89" s="21"/>
      <c r="DE89" s="21"/>
      <c r="DF89" s="23"/>
      <c r="DG89" s="21"/>
      <c r="DH89" s="21"/>
      <c r="DI89" s="21"/>
      <c r="DJ89" s="23"/>
      <c r="DK89" s="21"/>
      <c r="DL89" s="21"/>
      <c r="DM89" s="21"/>
      <c r="DN89" s="23"/>
      <c r="DO89" s="21"/>
      <c r="DP89" s="21"/>
      <c r="DQ89" s="21"/>
      <c r="DR89" s="23"/>
      <c r="DS89" s="21"/>
      <c r="DT89" s="21"/>
      <c r="DU89" s="21"/>
      <c r="DV89" s="23"/>
      <c r="DW89" s="32"/>
      <c r="DX89" s="32"/>
      <c r="DY89" s="31"/>
      <c r="DZ89" s="30"/>
      <c r="EA89" s="32"/>
      <c r="EB89" s="32"/>
      <c r="EC89" s="31"/>
      <c r="ED89" s="30"/>
      <c r="EE89" s="32"/>
      <c r="EF89" s="32"/>
      <c r="EG89" s="31"/>
      <c r="EH89" s="30"/>
      <c r="EI89" s="32"/>
      <c r="EJ89" s="32"/>
      <c r="EK89" s="31"/>
      <c r="EL89" s="30"/>
      <c r="EM89" s="32"/>
      <c r="EN89" s="32"/>
      <c r="EO89" s="31"/>
      <c r="EP89" s="30"/>
      <c r="EQ89" s="32"/>
      <c r="ER89" s="32"/>
      <c r="ES89" s="31"/>
      <c r="ET89" s="30"/>
      <c r="EU89" s="32"/>
      <c r="EV89" s="32"/>
      <c r="EW89" s="31"/>
      <c r="EX89" s="30"/>
      <c r="EY89" s="32"/>
      <c r="EZ89" s="32"/>
      <c r="FA89" s="31"/>
      <c r="FB89" s="30"/>
      <c r="FC89" s="32"/>
      <c r="FD89" s="32"/>
      <c r="FE89" s="31"/>
      <c r="FF89" s="30"/>
      <c r="FG89" s="32"/>
      <c r="FH89" s="32"/>
      <c r="FI89" s="31"/>
      <c r="FJ89" s="30"/>
      <c r="FK89" s="32"/>
      <c r="FL89" s="32"/>
      <c r="FM89" s="31"/>
      <c r="FN89" s="30"/>
      <c r="FO89" s="30"/>
      <c r="FP89" s="30"/>
      <c r="FQ89" s="30"/>
      <c r="FR89" s="30"/>
      <c r="FS89" s="30"/>
      <c r="FT89" s="30"/>
      <c r="FU89" s="30"/>
      <c r="FV89" s="30"/>
      <c r="FW89" s="30"/>
      <c r="FX89" s="30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  <c r="AAA89" s="3"/>
      <c r="AAB89" s="3"/>
      <c r="AAC89" s="3"/>
      <c r="AAD89" s="3"/>
      <c r="AAE89" s="3"/>
      <c r="AAF89" s="3"/>
      <c r="AAG89" s="3"/>
      <c r="AAH89" s="3"/>
      <c r="AAI89" s="3"/>
      <c r="AAJ89" s="3"/>
      <c r="AAK89" s="3"/>
      <c r="AAL89" s="3"/>
      <c r="AAM89" s="3"/>
    </row>
    <row r="90" spans="1:715" s="2" customFormat="1" ht="50" customHeight="1">
      <c r="A90" s="8"/>
      <c r="B90" s="12"/>
      <c r="C90" s="8"/>
      <c r="D90" s="8"/>
      <c r="E90" s="8"/>
      <c r="F90" s="23"/>
      <c r="G90" s="21"/>
      <c r="H90" s="21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  <c r="DH90" s="23"/>
      <c r="DI90" s="23"/>
      <c r="DJ90" s="23"/>
      <c r="DK90" s="23"/>
      <c r="DL90" s="23"/>
      <c r="DM90" s="23"/>
      <c r="DN90" s="23"/>
      <c r="DO90" s="23"/>
      <c r="DP90" s="23"/>
      <c r="DQ90" s="23"/>
      <c r="DR90" s="23"/>
      <c r="DS90" s="23"/>
      <c r="DT90" s="23"/>
      <c r="DU90" s="23"/>
      <c r="DV90" s="23"/>
      <c r="DW90" s="30"/>
      <c r="DX90" s="30"/>
      <c r="DY90" s="30"/>
      <c r="DZ90" s="30"/>
      <c r="EA90" s="30"/>
      <c r="EB90" s="30"/>
      <c r="EC90" s="30"/>
      <c r="ED90" s="30"/>
      <c r="EE90" s="30"/>
      <c r="EF90" s="30"/>
      <c r="EG90" s="30"/>
      <c r="EH90" s="30"/>
      <c r="EI90" s="30"/>
      <c r="EJ90" s="30"/>
      <c r="EK90" s="30"/>
      <c r="EL90" s="30"/>
      <c r="EM90" s="30"/>
      <c r="EN90" s="30"/>
      <c r="EO90" s="30"/>
      <c r="EP90" s="30"/>
      <c r="EQ90" s="30"/>
      <c r="ER90" s="30"/>
      <c r="ES90" s="30"/>
      <c r="ET90" s="30"/>
      <c r="EU90" s="30"/>
      <c r="EV90" s="30"/>
      <c r="EW90" s="30"/>
      <c r="EX90" s="30"/>
      <c r="EY90" s="30"/>
      <c r="EZ90" s="30"/>
      <c r="FA90" s="30"/>
      <c r="FB90" s="30"/>
      <c r="FC90" s="30"/>
      <c r="FD90" s="30"/>
      <c r="FE90" s="30"/>
      <c r="FF90" s="30"/>
      <c r="FG90" s="30"/>
      <c r="FH90" s="30"/>
      <c r="FI90" s="30"/>
      <c r="FJ90" s="30"/>
      <c r="FK90" s="30"/>
      <c r="FL90" s="30"/>
      <c r="FM90" s="30"/>
      <c r="FN90" s="30"/>
      <c r="FO90" s="30"/>
      <c r="FP90" s="30"/>
      <c r="FQ90" s="30"/>
      <c r="FR90" s="30"/>
      <c r="FS90" s="30"/>
      <c r="FT90" s="30"/>
      <c r="FU90" s="30"/>
      <c r="FV90" s="30"/>
      <c r="FW90" s="30"/>
      <c r="FX90" s="30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  <c r="AAA90" s="3"/>
      <c r="AAB90" s="3"/>
      <c r="AAC90" s="3"/>
      <c r="AAD90" s="3"/>
      <c r="AAE90" s="3"/>
      <c r="AAF90" s="3"/>
      <c r="AAG90" s="3"/>
      <c r="AAH90" s="3"/>
      <c r="AAI90" s="3"/>
      <c r="AAJ90" s="3"/>
      <c r="AAK90" s="3"/>
      <c r="AAL90" s="3"/>
      <c r="AAM90" s="3"/>
    </row>
    <row r="91" spans="1:715" s="2" customFormat="1" ht="50" customHeight="1">
      <c r="A91" s="8"/>
      <c r="B91" s="12"/>
      <c r="C91" s="8"/>
      <c r="D91" s="8"/>
      <c r="E91" s="8"/>
      <c r="F91" s="23"/>
      <c r="G91" s="21"/>
      <c r="H91" s="21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  <c r="DH91" s="23"/>
      <c r="DI91" s="23"/>
      <c r="DJ91" s="23"/>
      <c r="DK91" s="23"/>
      <c r="DL91" s="23"/>
      <c r="DM91" s="23"/>
      <c r="DN91" s="23"/>
      <c r="DO91" s="23"/>
      <c r="DP91" s="23"/>
      <c r="DQ91" s="23"/>
      <c r="DR91" s="23"/>
      <c r="DS91" s="23"/>
      <c r="DT91" s="23"/>
      <c r="DU91" s="23"/>
      <c r="DV91" s="23"/>
      <c r="DW91" s="30"/>
      <c r="DX91" s="30"/>
      <c r="DY91" s="30"/>
      <c r="DZ91" s="30"/>
      <c r="EA91" s="30"/>
      <c r="EB91" s="30"/>
      <c r="EC91" s="30"/>
      <c r="ED91" s="30"/>
      <c r="EE91" s="30"/>
      <c r="EF91" s="30"/>
      <c r="EG91" s="30"/>
      <c r="EH91" s="30"/>
      <c r="EI91" s="30"/>
      <c r="EJ91" s="30"/>
      <c r="EK91" s="30"/>
      <c r="EL91" s="30"/>
      <c r="EM91" s="30"/>
      <c r="EN91" s="30"/>
      <c r="EO91" s="30"/>
      <c r="EP91" s="30"/>
      <c r="EQ91" s="30"/>
      <c r="ER91" s="30"/>
      <c r="ES91" s="30"/>
      <c r="ET91" s="30"/>
      <c r="EU91" s="30"/>
      <c r="EV91" s="30"/>
      <c r="EW91" s="30"/>
      <c r="EX91" s="30"/>
      <c r="EY91" s="30"/>
      <c r="EZ91" s="30"/>
      <c r="FA91" s="30"/>
      <c r="FB91" s="30"/>
      <c r="FC91" s="30"/>
      <c r="FD91" s="30"/>
      <c r="FE91" s="30"/>
      <c r="FF91" s="30"/>
      <c r="FG91" s="30"/>
      <c r="FH91" s="30"/>
      <c r="FI91" s="30"/>
      <c r="FJ91" s="30"/>
      <c r="FK91" s="30"/>
      <c r="FL91" s="30"/>
      <c r="FM91" s="30"/>
      <c r="FN91" s="30"/>
      <c r="FO91" s="30"/>
      <c r="FP91" s="30"/>
      <c r="FQ91" s="30"/>
      <c r="FR91" s="30"/>
      <c r="FS91" s="30"/>
      <c r="FT91" s="30"/>
      <c r="FU91" s="30"/>
      <c r="FV91" s="30"/>
      <c r="FW91" s="30"/>
      <c r="FX91" s="30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  <c r="AAA91" s="3"/>
      <c r="AAB91" s="3"/>
      <c r="AAC91" s="3"/>
      <c r="AAD91" s="3"/>
      <c r="AAE91" s="3"/>
      <c r="AAF91" s="3"/>
      <c r="AAG91" s="3"/>
      <c r="AAH91" s="3"/>
      <c r="AAI91" s="3"/>
      <c r="AAJ91" s="3"/>
      <c r="AAK91" s="3"/>
      <c r="AAL91" s="3"/>
      <c r="AAM91" s="3"/>
    </row>
    <row r="92" spans="1:715" s="2" customFormat="1" ht="50" customHeight="1">
      <c r="A92" s="8"/>
      <c r="B92" s="12"/>
      <c r="C92" s="8"/>
      <c r="D92" s="8"/>
      <c r="E92" s="8"/>
      <c r="F92" s="23"/>
      <c r="G92" s="21"/>
      <c r="H92" s="21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1"/>
      <c r="CN92" s="21"/>
      <c r="CO92" s="21"/>
      <c r="CP92" s="23"/>
      <c r="CQ92" s="21"/>
      <c r="CR92" s="21"/>
      <c r="CS92" s="21"/>
      <c r="CT92" s="23"/>
      <c r="CU92" s="21"/>
      <c r="CV92" s="21"/>
      <c r="CW92" s="21"/>
      <c r="CX92" s="23"/>
      <c r="CY92" s="21"/>
      <c r="CZ92" s="21"/>
      <c r="DA92" s="21"/>
      <c r="DB92" s="23"/>
      <c r="DC92" s="21"/>
      <c r="DD92" s="21"/>
      <c r="DE92" s="21"/>
      <c r="DF92" s="23"/>
      <c r="DG92" s="21"/>
      <c r="DH92" s="21"/>
      <c r="DI92" s="21"/>
      <c r="DJ92" s="23"/>
      <c r="DK92" s="21"/>
      <c r="DL92" s="21"/>
      <c r="DM92" s="21"/>
      <c r="DN92" s="23"/>
      <c r="DO92" s="21"/>
      <c r="DP92" s="21"/>
      <c r="DQ92" s="21"/>
      <c r="DR92" s="23"/>
      <c r="DS92" s="21"/>
      <c r="DT92" s="21"/>
      <c r="DU92" s="21"/>
      <c r="DV92" s="23"/>
      <c r="DW92" s="32"/>
      <c r="DX92" s="32"/>
      <c r="DY92" s="31"/>
      <c r="DZ92" s="30"/>
      <c r="EA92" s="32"/>
      <c r="EB92" s="32"/>
      <c r="EC92" s="31"/>
      <c r="ED92" s="30"/>
      <c r="EE92" s="32"/>
      <c r="EF92" s="32"/>
      <c r="EG92" s="31"/>
      <c r="EH92" s="30"/>
      <c r="EI92" s="32"/>
      <c r="EJ92" s="32"/>
      <c r="EK92" s="31"/>
      <c r="EL92" s="30"/>
      <c r="EM92" s="32"/>
      <c r="EN92" s="32"/>
      <c r="EO92" s="31"/>
      <c r="EP92" s="30"/>
      <c r="EQ92" s="32"/>
      <c r="ER92" s="32"/>
      <c r="ES92" s="31"/>
      <c r="ET92" s="30"/>
      <c r="EU92" s="32"/>
      <c r="EV92" s="32"/>
      <c r="EW92" s="31"/>
      <c r="EX92" s="30"/>
      <c r="EY92" s="32"/>
      <c r="EZ92" s="32"/>
      <c r="FA92" s="31"/>
      <c r="FB92" s="30"/>
      <c r="FC92" s="32"/>
      <c r="FD92" s="32"/>
      <c r="FE92" s="31"/>
      <c r="FF92" s="30"/>
      <c r="FG92" s="32"/>
      <c r="FH92" s="32"/>
      <c r="FI92" s="31"/>
      <c r="FJ92" s="30"/>
      <c r="FK92" s="32"/>
      <c r="FL92" s="32"/>
      <c r="FM92" s="31"/>
      <c r="FN92" s="30"/>
      <c r="FO92" s="30"/>
      <c r="FP92" s="30"/>
      <c r="FQ92" s="30"/>
      <c r="FR92" s="30"/>
      <c r="FS92" s="30"/>
      <c r="FT92" s="30"/>
      <c r="FU92" s="30"/>
      <c r="FV92" s="30"/>
      <c r="FW92" s="30"/>
      <c r="FX92" s="30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  <c r="AAA92" s="3"/>
      <c r="AAB92" s="3"/>
      <c r="AAC92" s="3"/>
      <c r="AAD92" s="3"/>
      <c r="AAE92" s="3"/>
      <c r="AAF92" s="3"/>
      <c r="AAG92" s="3"/>
      <c r="AAH92" s="3"/>
      <c r="AAI92" s="3"/>
      <c r="AAJ92" s="3"/>
      <c r="AAK92" s="3"/>
      <c r="AAL92" s="3"/>
      <c r="AAM92" s="3"/>
    </row>
    <row r="93" spans="1:715" s="2" customFormat="1" ht="50" customHeight="1">
      <c r="A93" s="8"/>
      <c r="B93" s="12"/>
      <c r="C93" s="8"/>
      <c r="D93" s="8"/>
      <c r="E93" s="8"/>
      <c r="F93" s="23"/>
      <c r="G93" s="21"/>
      <c r="H93" s="21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1"/>
      <c r="CN93" s="21"/>
      <c r="CO93" s="21"/>
      <c r="CP93" s="23"/>
      <c r="CQ93" s="21"/>
      <c r="CR93" s="21"/>
      <c r="CS93" s="21"/>
      <c r="CT93" s="23"/>
      <c r="CU93" s="21"/>
      <c r="CV93" s="21"/>
      <c r="CW93" s="21"/>
      <c r="CX93" s="23"/>
      <c r="CY93" s="21"/>
      <c r="CZ93" s="21"/>
      <c r="DA93" s="21"/>
      <c r="DB93" s="23"/>
      <c r="DC93" s="21"/>
      <c r="DD93" s="21"/>
      <c r="DE93" s="21"/>
      <c r="DF93" s="23"/>
      <c r="DG93" s="21"/>
      <c r="DH93" s="21"/>
      <c r="DI93" s="21"/>
      <c r="DJ93" s="23"/>
      <c r="DK93" s="21"/>
      <c r="DL93" s="21"/>
      <c r="DM93" s="21"/>
      <c r="DN93" s="23"/>
      <c r="DO93" s="21"/>
      <c r="DP93" s="21"/>
      <c r="DQ93" s="21"/>
      <c r="DR93" s="23"/>
      <c r="DS93" s="21"/>
      <c r="DT93" s="21"/>
      <c r="DU93" s="21"/>
      <c r="DV93" s="23"/>
      <c r="DW93" s="32"/>
      <c r="DX93" s="32"/>
      <c r="DY93" s="31"/>
      <c r="DZ93" s="30"/>
      <c r="EA93" s="32"/>
      <c r="EB93" s="32"/>
      <c r="EC93" s="31"/>
      <c r="ED93" s="30"/>
      <c r="EE93" s="32"/>
      <c r="EF93" s="32"/>
      <c r="EG93" s="31"/>
      <c r="EH93" s="30"/>
      <c r="EI93" s="32"/>
      <c r="EJ93" s="32"/>
      <c r="EK93" s="31"/>
      <c r="EL93" s="30"/>
      <c r="EM93" s="32"/>
      <c r="EN93" s="32"/>
      <c r="EO93" s="31"/>
      <c r="EP93" s="30"/>
      <c r="EQ93" s="32"/>
      <c r="ER93" s="32"/>
      <c r="ES93" s="31"/>
      <c r="ET93" s="30"/>
      <c r="EU93" s="32"/>
      <c r="EV93" s="32"/>
      <c r="EW93" s="31"/>
      <c r="EX93" s="30"/>
      <c r="EY93" s="32"/>
      <c r="EZ93" s="32"/>
      <c r="FA93" s="31"/>
      <c r="FB93" s="30"/>
      <c r="FC93" s="32"/>
      <c r="FD93" s="32"/>
      <c r="FE93" s="31"/>
      <c r="FF93" s="30"/>
      <c r="FG93" s="32"/>
      <c r="FH93" s="32"/>
      <c r="FI93" s="31"/>
      <c r="FJ93" s="30"/>
      <c r="FK93" s="32"/>
      <c r="FL93" s="32"/>
      <c r="FM93" s="31"/>
      <c r="FN93" s="30"/>
      <c r="FO93" s="30"/>
      <c r="FP93" s="30"/>
      <c r="FQ93" s="30"/>
      <c r="FR93" s="30"/>
      <c r="FS93" s="30"/>
      <c r="FT93" s="30"/>
      <c r="FU93" s="30"/>
      <c r="FV93" s="30"/>
      <c r="FW93" s="30"/>
      <c r="FX93" s="30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  <c r="AAA93" s="3"/>
      <c r="AAB93" s="3"/>
      <c r="AAC93" s="3"/>
      <c r="AAD93" s="3"/>
      <c r="AAE93" s="3"/>
      <c r="AAF93" s="3"/>
      <c r="AAG93" s="3"/>
      <c r="AAH93" s="3"/>
      <c r="AAI93" s="3"/>
      <c r="AAJ93" s="3"/>
      <c r="AAK93" s="3"/>
      <c r="AAL93" s="3"/>
      <c r="AAM93" s="3"/>
    </row>
    <row r="94" spans="1:715" s="2" customFormat="1" ht="50" customHeight="1">
      <c r="A94" s="8"/>
      <c r="B94" s="12"/>
      <c r="C94" s="8"/>
      <c r="D94" s="8"/>
      <c r="E94" s="8"/>
      <c r="F94" s="23"/>
      <c r="G94" s="21"/>
      <c r="H94" s="21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3"/>
      <c r="DH94" s="23"/>
      <c r="DI94" s="23"/>
      <c r="DJ94" s="23"/>
      <c r="DK94" s="23"/>
      <c r="DL94" s="23"/>
      <c r="DM94" s="23"/>
      <c r="DN94" s="23"/>
      <c r="DO94" s="23"/>
      <c r="DP94" s="23"/>
      <c r="DQ94" s="23"/>
      <c r="DR94" s="23"/>
      <c r="DS94" s="23"/>
      <c r="DT94" s="23"/>
      <c r="DU94" s="23"/>
      <c r="DV94" s="23"/>
      <c r="DW94" s="30"/>
      <c r="DX94" s="30"/>
      <c r="DY94" s="30"/>
      <c r="DZ94" s="30"/>
      <c r="EA94" s="30"/>
      <c r="EB94" s="30"/>
      <c r="EC94" s="30"/>
      <c r="ED94" s="30"/>
      <c r="EE94" s="30"/>
      <c r="EF94" s="30"/>
      <c r="EG94" s="30"/>
      <c r="EH94" s="30"/>
      <c r="EI94" s="30"/>
      <c r="EJ94" s="30"/>
      <c r="EK94" s="30"/>
      <c r="EL94" s="30"/>
      <c r="EM94" s="30"/>
      <c r="EN94" s="30"/>
      <c r="EO94" s="30"/>
      <c r="EP94" s="30"/>
      <c r="EQ94" s="30"/>
      <c r="ER94" s="30"/>
      <c r="ES94" s="30"/>
      <c r="ET94" s="30"/>
      <c r="EU94" s="30"/>
      <c r="EV94" s="30"/>
      <c r="EW94" s="30"/>
      <c r="EX94" s="30"/>
      <c r="EY94" s="30"/>
      <c r="EZ94" s="30"/>
      <c r="FA94" s="30"/>
      <c r="FB94" s="30"/>
      <c r="FC94" s="30"/>
      <c r="FD94" s="30"/>
      <c r="FE94" s="30"/>
      <c r="FF94" s="30"/>
      <c r="FG94" s="30"/>
      <c r="FH94" s="30"/>
      <c r="FI94" s="30"/>
      <c r="FJ94" s="30"/>
      <c r="FK94" s="30"/>
      <c r="FL94" s="30"/>
      <c r="FM94" s="30"/>
      <c r="FN94" s="30"/>
      <c r="FO94" s="30"/>
      <c r="FP94" s="30"/>
      <c r="FQ94" s="30"/>
      <c r="FR94" s="30"/>
      <c r="FS94" s="30"/>
      <c r="FT94" s="30"/>
      <c r="FU94" s="30"/>
      <c r="FV94" s="30"/>
      <c r="FW94" s="30"/>
      <c r="FX94" s="30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  <c r="AAA94" s="3"/>
      <c r="AAB94" s="3"/>
      <c r="AAC94" s="3"/>
      <c r="AAD94" s="3"/>
      <c r="AAE94" s="3"/>
      <c r="AAF94" s="3"/>
      <c r="AAG94" s="3"/>
      <c r="AAH94" s="3"/>
      <c r="AAI94" s="3"/>
      <c r="AAJ94" s="3"/>
      <c r="AAK94" s="3"/>
      <c r="AAL94" s="3"/>
      <c r="AAM94" s="3"/>
    </row>
    <row r="95" spans="1:715" s="2" customFormat="1" ht="50" customHeight="1">
      <c r="A95" s="8"/>
      <c r="B95" s="12"/>
      <c r="C95" s="8"/>
      <c r="D95" s="8"/>
      <c r="E95" s="8"/>
      <c r="F95" s="23"/>
      <c r="G95" s="21"/>
      <c r="H95" s="21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3"/>
      <c r="DH95" s="23"/>
      <c r="DI95" s="23"/>
      <c r="DJ95" s="23"/>
      <c r="DK95" s="23"/>
      <c r="DL95" s="23"/>
      <c r="DM95" s="23"/>
      <c r="DN95" s="23"/>
      <c r="DO95" s="23"/>
      <c r="DP95" s="23"/>
      <c r="DQ95" s="23"/>
      <c r="DR95" s="23"/>
      <c r="DS95" s="23"/>
      <c r="DT95" s="23"/>
      <c r="DU95" s="23"/>
      <c r="DV95" s="23"/>
      <c r="DW95" s="30"/>
      <c r="DX95" s="30"/>
      <c r="DY95" s="30"/>
      <c r="DZ95" s="30"/>
      <c r="EA95" s="30"/>
      <c r="EB95" s="30"/>
      <c r="EC95" s="30"/>
      <c r="ED95" s="30"/>
      <c r="EE95" s="30"/>
      <c r="EF95" s="30"/>
      <c r="EG95" s="30"/>
      <c r="EH95" s="30"/>
      <c r="EI95" s="30"/>
      <c r="EJ95" s="30"/>
      <c r="EK95" s="30"/>
      <c r="EL95" s="30"/>
      <c r="EM95" s="30"/>
      <c r="EN95" s="30"/>
      <c r="EO95" s="30"/>
      <c r="EP95" s="30"/>
      <c r="EQ95" s="30"/>
      <c r="ER95" s="30"/>
      <c r="ES95" s="30"/>
      <c r="ET95" s="30"/>
      <c r="EU95" s="30"/>
      <c r="EV95" s="30"/>
      <c r="EW95" s="30"/>
      <c r="EX95" s="30"/>
      <c r="EY95" s="30"/>
      <c r="EZ95" s="30"/>
      <c r="FA95" s="30"/>
      <c r="FB95" s="30"/>
      <c r="FC95" s="30"/>
      <c r="FD95" s="30"/>
      <c r="FE95" s="30"/>
      <c r="FF95" s="30"/>
      <c r="FG95" s="30"/>
      <c r="FH95" s="30"/>
      <c r="FI95" s="30"/>
      <c r="FJ95" s="30"/>
      <c r="FK95" s="30"/>
      <c r="FL95" s="30"/>
      <c r="FM95" s="30"/>
      <c r="FN95" s="30"/>
      <c r="FO95" s="30"/>
      <c r="FP95" s="30"/>
      <c r="FQ95" s="30"/>
      <c r="FR95" s="30"/>
      <c r="FS95" s="30"/>
      <c r="FT95" s="30"/>
      <c r="FU95" s="30"/>
      <c r="FV95" s="30"/>
      <c r="FW95" s="30"/>
      <c r="FX95" s="30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  <c r="AAA95" s="3"/>
      <c r="AAB95" s="3"/>
      <c r="AAC95" s="3"/>
      <c r="AAD95" s="3"/>
      <c r="AAE95" s="3"/>
      <c r="AAF95" s="3"/>
      <c r="AAG95" s="3"/>
      <c r="AAH95" s="3"/>
      <c r="AAI95" s="3"/>
      <c r="AAJ95" s="3"/>
      <c r="AAK95" s="3"/>
      <c r="AAL95" s="3"/>
      <c r="AAM95" s="3"/>
    </row>
    <row r="96" spans="1:715" s="2" customFormat="1" ht="50" customHeight="1">
      <c r="A96" s="8"/>
      <c r="B96" s="12"/>
      <c r="C96" s="8"/>
      <c r="D96" s="8"/>
      <c r="E96" s="8"/>
      <c r="F96" s="23"/>
      <c r="G96" s="21"/>
      <c r="H96" s="21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1"/>
      <c r="CN96" s="21"/>
      <c r="CO96" s="21"/>
      <c r="CP96" s="23"/>
      <c r="CQ96" s="21"/>
      <c r="CR96" s="21"/>
      <c r="CS96" s="21"/>
      <c r="CT96" s="23"/>
      <c r="CU96" s="21"/>
      <c r="CV96" s="21"/>
      <c r="CW96" s="21"/>
      <c r="CX96" s="23"/>
      <c r="CY96" s="21"/>
      <c r="CZ96" s="21"/>
      <c r="DA96" s="21"/>
      <c r="DB96" s="23"/>
      <c r="DC96" s="21"/>
      <c r="DD96" s="21"/>
      <c r="DE96" s="21"/>
      <c r="DF96" s="23"/>
      <c r="DG96" s="21"/>
      <c r="DH96" s="21"/>
      <c r="DI96" s="21"/>
      <c r="DJ96" s="23"/>
      <c r="DK96" s="21"/>
      <c r="DL96" s="21"/>
      <c r="DM96" s="21"/>
      <c r="DN96" s="23"/>
      <c r="DO96" s="21"/>
      <c r="DP96" s="21"/>
      <c r="DQ96" s="21"/>
      <c r="DR96" s="23"/>
      <c r="DS96" s="21"/>
      <c r="DT96" s="21"/>
      <c r="DU96" s="21"/>
      <c r="DV96" s="23"/>
      <c r="DW96" s="32"/>
      <c r="DX96" s="32"/>
      <c r="DY96" s="31"/>
      <c r="DZ96" s="30"/>
      <c r="EA96" s="32"/>
      <c r="EB96" s="32"/>
      <c r="EC96" s="31"/>
      <c r="ED96" s="30"/>
      <c r="EE96" s="32"/>
      <c r="EF96" s="32"/>
      <c r="EG96" s="31"/>
      <c r="EH96" s="30"/>
      <c r="EI96" s="32"/>
      <c r="EJ96" s="32"/>
      <c r="EK96" s="31"/>
      <c r="EL96" s="30"/>
      <c r="EM96" s="32"/>
      <c r="EN96" s="32"/>
      <c r="EO96" s="31"/>
      <c r="EP96" s="30"/>
      <c r="EQ96" s="32"/>
      <c r="ER96" s="32"/>
      <c r="ES96" s="31"/>
      <c r="ET96" s="30"/>
      <c r="EU96" s="32"/>
      <c r="EV96" s="32"/>
      <c r="EW96" s="31"/>
      <c r="EX96" s="30"/>
      <c r="EY96" s="32"/>
      <c r="EZ96" s="32"/>
      <c r="FA96" s="31"/>
      <c r="FB96" s="30"/>
      <c r="FC96" s="32"/>
      <c r="FD96" s="32"/>
      <c r="FE96" s="31"/>
      <c r="FF96" s="30"/>
      <c r="FG96" s="32"/>
      <c r="FH96" s="32"/>
      <c r="FI96" s="31"/>
      <c r="FJ96" s="30"/>
      <c r="FK96" s="32"/>
      <c r="FL96" s="32"/>
      <c r="FM96" s="31"/>
      <c r="FN96" s="30"/>
      <c r="FO96" s="30"/>
      <c r="FP96" s="30"/>
      <c r="FQ96" s="30"/>
      <c r="FR96" s="30"/>
      <c r="FS96" s="30"/>
      <c r="FT96" s="30"/>
      <c r="FU96" s="30"/>
      <c r="FV96" s="30"/>
      <c r="FW96" s="30"/>
      <c r="FX96" s="30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  <c r="AAA96" s="3"/>
      <c r="AAB96" s="3"/>
      <c r="AAC96" s="3"/>
      <c r="AAD96" s="3"/>
      <c r="AAE96" s="3"/>
      <c r="AAF96" s="3"/>
      <c r="AAG96" s="3"/>
      <c r="AAH96" s="3"/>
      <c r="AAI96" s="3"/>
      <c r="AAJ96" s="3"/>
      <c r="AAK96" s="3"/>
      <c r="AAL96" s="3"/>
      <c r="AAM96" s="3"/>
    </row>
    <row r="97" spans="1:715" s="2" customFormat="1" ht="50" customHeight="1">
      <c r="A97" s="8"/>
      <c r="B97" s="12"/>
      <c r="C97" s="8"/>
      <c r="D97" s="8"/>
      <c r="E97" s="8"/>
      <c r="F97" s="23"/>
      <c r="G97" s="21"/>
      <c r="H97" s="21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1"/>
      <c r="CN97" s="21"/>
      <c r="CO97" s="21"/>
      <c r="CP97" s="23"/>
      <c r="CQ97" s="21"/>
      <c r="CR97" s="21"/>
      <c r="CS97" s="21"/>
      <c r="CT97" s="23"/>
      <c r="CU97" s="21"/>
      <c r="CV97" s="21"/>
      <c r="CW97" s="21"/>
      <c r="CX97" s="23"/>
      <c r="CY97" s="21"/>
      <c r="CZ97" s="21"/>
      <c r="DA97" s="21"/>
      <c r="DB97" s="23"/>
      <c r="DC97" s="21"/>
      <c r="DD97" s="21"/>
      <c r="DE97" s="21"/>
      <c r="DF97" s="23"/>
      <c r="DG97" s="21"/>
      <c r="DH97" s="21"/>
      <c r="DI97" s="21"/>
      <c r="DJ97" s="23"/>
      <c r="DK97" s="21"/>
      <c r="DL97" s="21"/>
      <c r="DM97" s="21"/>
      <c r="DN97" s="23"/>
      <c r="DO97" s="21"/>
      <c r="DP97" s="21"/>
      <c r="DQ97" s="21"/>
      <c r="DR97" s="23"/>
      <c r="DS97" s="21"/>
      <c r="DT97" s="21"/>
      <c r="DU97" s="21"/>
      <c r="DV97" s="23"/>
      <c r="DW97" s="32"/>
      <c r="DX97" s="32"/>
      <c r="DY97" s="31"/>
      <c r="DZ97" s="30"/>
      <c r="EA97" s="32"/>
      <c r="EB97" s="32"/>
      <c r="EC97" s="31"/>
      <c r="ED97" s="30"/>
      <c r="EE97" s="32"/>
      <c r="EF97" s="32"/>
      <c r="EG97" s="31"/>
      <c r="EH97" s="30"/>
      <c r="EI97" s="32"/>
      <c r="EJ97" s="32"/>
      <c r="EK97" s="31"/>
      <c r="EL97" s="30"/>
      <c r="EM97" s="32"/>
      <c r="EN97" s="32"/>
      <c r="EO97" s="31"/>
      <c r="EP97" s="30"/>
      <c r="EQ97" s="32"/>
      <c r="ER97" s="32"/>
      <c r="ES97" s="31"/>
      <c r="ET97" s="30"/>
      <c r="EU97" s="32"/>
      <c r="EV97" s="32"/>
      <c r="EW97" s="31"/>
      <c r="EX97" s="30"/>
      <c r="EY97" s="32"/>
      <c r="EZ97" s="32"/>
      <c r="FA97" s="31"/>
      <c r="FB97" s="30"/>
      <c r="FC97" s="32"/>
      <c r="FD97" s="32"/>
      <c r="FE97" s="31"/>
      <c r="FF97" s="30"/>
      <c r="FG97" s="32"/>
      <c r="FH97" s="32"/>
      <c r="FI97" s="31"/>
      <c r="FJ97" s="30"/>
      <c r="FK97" s="32"/>
      <c r="FL97" s="32"/>
      <c r="FM97" s="31"/>
      <c r="FN97" s="30"/>
      <c r="FO97" s="30"/>
      <c r="FP97" s="30"/>
      <c r="FQ97" s="30"/>
      <c r="FR97" s="30"/>
      <c r="FS97" s="30"/>
      <c r="FT97" s="30"/>
      <c r="FU97" s="30"/>
      <c r="FV97" s="30"/>
      <c r="FW97" s="30"/>
      <c r="FX97" s="30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  <c r="AAA97" s="3"/>
      <c r="AAB97" s="3"/>
      <c r="AAC97" s="3"/>
      <c r="AAD97" s="3"/>
      <c r="AAE97" s="3"/>
      <c r="AAF97" s="3"/>
      <c r="AAG97" s="3"/>
      <c r="AAH97" s="3"/>
      <c r="AAI97" s="3"/>
      <c r="AAJ97" s="3"/>
      <c r="AAK97" s="3"/>
      <c r="AAL97" s="3"/>
      <c r="AAM97" s="3"/>
    </row>
    <row r="98" spans="1:715" s="2" customFormat="1" ht="50" customHeight="1">
      <c r="A98" s="8"/>
      <c r="B98" s="12"/>
      <c r="C98" s="8"/>
      <c r="D98" s="8"/>
      <c r="E98" s="8"/>
      <c r="F98" s="23"/>
      <c r="G98" s="21"/>
      <c r="H98" s="21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30"/>
      <c r="DX98" s="30"/>
      <c r="DY98" s="30"/>
      <c r="DZ98" s="30"/>
      <c r="EA98" s="30"/>
      <c r="EB98" s="30"/>
      <c r="EC98" s="30"/>
      <c r="ED98" s="30"/>
      <c r="EE98" s="30"/>
      <c r="EF98" s="30"/>
      <c r="EG98" s="30"/>
      <c r="EH98" s="30"/>
      <c r="EI98" s="30"/>
      <c r="EJ98" s="30"/>
      <c r="EK98" s="30"/>
      <c r="EL98" s="30"/>
      <c r="EM98" s="30"/>
      <c r="EN98" s="30"/>
      <c r="EO98" s="30"/>
      <c r="EP98" s="30"/>
      <c r="EQ98" s="30"/>
      <c r="ER98" s="30"/>
      <c r="ES98" s="30"/>
      <c r="ET98" s="30"/>
      <c r="EU98" s="30"/>
      <c r="EV98" s="30"/>
      <c r="EW98" s="30"/>
      <c r="EX98" s="30"/>
      <c r="EY98" s="30"/>
      <c r="EZ98" s="30"/>
      <c r="FA98" s="30"/>
      <c r="FB98" s="30"/>
      <c r="FC98" s="30"/>
      <c r="FD98" s="30"/>
      <c r="FE98" s="30"/>
      <c r="FF98" s="30"/>
      <c r="FG98" s="30"/>
      <c r="FH98" s="30"/>
      <c r="FI98" s="30"/>
      <c r="FJ98" s="30"/>
      <c r="FK98" s="30"/>
      <c r="FL98" s="30"/>
      <c r="FM98" s="30"/>
      <c r="FN98" s="30"/>
      <c r="FO98" s="30"/>
      <c r="FP98" s="30"/>
      <c r="FQ98" s="30"/>
      <c r="FR98" s="30"/>
      <c r="FS98" s="30"/>
      <c r="FT98" s="30"/>
      <c r="FU98" s="30"/>
      <c r="FV98" s="30"/>
      <c r="FW98" s="30"/>
      <c r="FX98" s="30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  <c r="AAA98" s="3"/>
      <c r="AAB98" s="3"/>
      <c r="AAC98" s="3"/>
      <c r="AAD98" s="3"/>
      <c r="AAE98" s="3"/>
      <c r="AAF98" s="3"/>
      <c r="AAG98" s="3"/>
      <c r="AAH98" s="3"/>
      <c r="AAI98" s="3"/>
      <c r="AAJ98" s="3"/>
      <c r="AAK98" s="3"/>
      <c r="AAL98" s="3"/>
      <c r="AAM98" s="3"/>
    </row>
    <row r="99" spans="1:715" s="2" customFormat="1" ht="50" customHeight="1">
      <c r="A99" s="8"/>
      <c r="B99" s="12"/>
      <c r="C99" s="8"/>
      <c r="D99" s="8"/>
      <c r="E99" s="8"/>
      <c r="F99" s="23"/>
      <c r="G99" s="21"/>
      <c r="H99" s="21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30"/>
      <c r="DX99" s="30"/>
      <c r="DY99" s="30"/>
      <c r="DZ99" s="30"/>
      <c r="EA99" s="30"/>
      <c r="EB99" s="30"/>
      <c r="EC99" s="30"/>
      <c r="ED99" s="30"/>
      <c r="EE99" s="30"/>
      <c r="EF99" s="30"/>
      <c r="EG99" s="30"/>
      <c r="EH99" s="30"/>
      <c r="EI99" s="30"/>
      <c r="EJ99" s="30"/>
      <c r="EK99" s="30"/>
      <c r="EL99" s="30"/>
      <c r="EM99" s="30"/>
      <c r="EN99" s="30"/>
      <c r="EO99" s="30"/>
      <c r="EP99" s="30"/>
      <c r="EQ99" s="30"/>
      <c r="ER99" s="30"/>
      <c r="ES99" s="30"/>
      <c r="ET99" s="30"/>
      <c r="EU99" s="30"/>
      <c r="EV99" s="30"/>
      <c r="EW99" s="30"/>
      <c r="EX99" s="30"/>
      <c r="EY99" s="30"/>
      <c r="EZ99" s="30"/>
      <c r="FA99" s="30"/>
      <c r="FB99" s="30"/>
      <c r="FC99" s="30"/>
      <c r="FD99" s="30"/>
      <c r="FE99" s="30"/>
      <c r="FF99" s="30"/>
      <c r="FG99" s="30"/>
      <c r="FH99" s="30"/>
      <c r="FI99" s="30"/>
      <c r="FJ99" s="30"/>
      <c r="FK99" s="30"/>
      <c r="FL99" s="30"/>
      <c r="FM99" s="30"/>
      <c r="FN99" s="30"/>
      <c r="FO99" s="30"/>
      <c r="FP99" s="30"/>
      <c r="FQ99" s="30"/>
      <c r="FR99" s="30"/>
      <c r="FS99" s="30"/>
      <c r="FT99" s="30"/>
      <c r="FU99" s="30"/>
      <c r="FV99" s="30"/>
      <c r="FW99" s="30"/>
      <c r="FX99" s="30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  <c r="AAA99" s="3"/>
      <c r="AAB99" s="3"/>
      <c r="AAC99" s="3"/>
      <c r="AAD99" s="3"/>
      <c r="AAE99" s="3"/>
      <c r="AAF99" s="3"/>
      <c r="AAG99" s="3"/>
      <c r="AAH99" s="3"/>
      <c r="AAI99" s="3"/>
      <c r="AAJ99" s="3"/>
      <c r="AAK99" s="3"/>
      <c r="AAL99" s="3"/>
      <c r="AAM99" s="3"/>
    </row>
    <row r="100" spans="1:715" s="2" customFormat="1" ht="50" customHeight="1">
      <c r="A100" s="8"/>
      <c r="B100" s="12"/>
      <c r="C100" s="8"/>
      <c r="D100" s="8"/>
      <c r="E100" s="8"/>
      <c r="F100" s="23"/>
      <c r="G100" s="21"/>
      <c r="H100" s="21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1"/>
      <c r="CN100" s="21"/>
      <c r="CO100" s="21"/>
      <c r="CP100" s="23"/>
      <c r="CQ100" s="21"/>
      <c r="CR100" s="21"/>
      <c r="CS100" s="21"/>
      <c r="CT100" s="23"/>
      <c r="CU100" s="21"/>
      <c r="CV100" s="21"/>
      <c r="CW100" s="21"/>
      <c r="CX100" s="23"/>
      <c r="CY100" s="21"/>
      <c r="CZ100" s="21"/>
      <c r="DA100" s="21"/>
      <c r="DB100" s="23"/>
      <c r="DC100" s="21"/>
      <c r="DD100" s="21"/>
      <c r="DE100" s="21"/>
      <c r="DF100" s="23"/>
      <c r="DG100" s="21"/>
      <c r="DH100" s="21"/>
      <c r="DI100" s="21"/>
      <c r="DJ100" s="23"/>
      <c r="DK100" s="21"/>
      <c r="DL100" s="21"/>
      <c r="DM100" s="21"/>
      <c r="DN100" s="23"/>
      <c r="DO100" s="21"/>
      <c r="DP100" s="21"/>
      <c r="DQ100" s="21"/>
      <c r="DR100" s="23"/>
      <c r="DS100" s="21"/>
      <c r="DT100" s="21"/>
      <c r="DU100" s="21"/>
      <c r="DV100" s="23"/>
      <c r="DW100" s="32"/>
      <c r="DX100" s="32"/>
      <c r="DY100" s="31"/>
      <c r="DZ100" s="30"/>
      <c r="EA100" s="32"/>
      <c r="EB100" s="32"/>
      <c r="EC100" s="31"/>
      <c r="ED100" s="30"/>
      <c r="EE100" s="32"/>
      <c r="EF100" s="32"/>
      <c r="EG100" s="31"/>
      <c r="EH100" s="30"/>
      <c r="EI100" s="32"/>
      <c r="EJ100" s="32"/>
      <c r="EK100" s="31"/>
      <c r="EL100" s="30"/>
      <c r="EM100" s="32"/>
      <c r="EN100" s="32"/>
      <c r="EO100" s="31"/>
      <c r="EP100" s="30"/>
      <c r="EQ100" s="32"/>
      <c r="ER100" s="32"/>
      <c r="ES100" s="31"/>
      <c r="ET100" s="30"/>
      <c r="EU100" s="32"/>
      <c r="EV100" s="32"/>
      <c r="EW100" s="31"/>
      <c r="EX100" s="30"/>
      <c r="EY100" s="32"/>
      <c r="EZ100" s="32"/>
      <c r="FA100" s="31"/>
      <c r="FB100" s="30"/>
      <c r="FC100" s="32"/>
      <c r="FD100" s="32"/>
      <c r="FE100" s="31"/>
      <c r="FF100" s="30"/>
      <c r="FG100" s="32"/>
      <c r="FH100" s="32"/>
      <c r="FI100" s="31"/>
      <c r="FJ100" s="30"/>
      <c r="FK100" s="32"/>
      <c r="FL100" s="32"/>
      <c r="FM100" s="31"/>
      <c r="FN100" s="30"/>
      <c r="FO100" s="30"/>
      <c r="FP100" s="30"/>
      <c r="FQ100" s="30"/>
      <c r="FR100" s="30"/>
      <c r="FS100" s="30"/>
      <c r="FT100" s="30"/>
      <c r="FU100" s="30"/>
      <c r="FV100" s="30"/>
      <c r="FW100" s="30"/>
      <c r="FX100" s="30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  <c r="AAA100" s="3"/>
      <c r="AAB100" s="3"/>
      <c r="AAC100" s="3"/>
      <c r="AAD100" s="3"/>
      <c r="AAE100" s="3"/>
      <c r="AAF100" s="3"/>
      <c r="AAG100" s="3"/>
      <c r="AAH100" s="3"/>
      <c r="AAI100" s="3"/>
      <c r="AAJ100" s="3"/>
      <c r="AAK100" s="3"/>
      <c r="AAL100" s="3"/>
      <c r="AAM100" s="3"/>
    </row>
    <row r="101" spans="1:715" s="2" customFormat="1" ht="50" customHeight="1">
      <c r="A101" s="8"/>
      <c r="B101" s="12"/>
      <c r="C101" s="8"/>
      <c r="D101" s="8"/>
      <c r="E101" s="8"/>
      <c r="F101" s="23"/>
      <c r="G101" s="21"/>
      <c r="H101" s="21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1"/>
      <c r="CN101" s="21"/>
      <c r="CO101" s="21"/>
      <c r="CP101" s="23"/>
      <c r="CQ101" s="21"/>
      <c r="CR101" s="21"/>
      <c r="CS101" s="21"/>
      <c r="CT101" s="23"/>
      <c r="CU101" s="21"/>
      <c r="CV101" s="21"/>
      <c r="CW101" s="21"/>
      <c r="CX101" s="23"/>
      <c r="CY101" s="21"/>
      <c r="CZ101" s="21"/>
      <c r="DA101" s="21"/>
      <c r="DB101" s="23"/>
      <c r="DC101" s="21"/>
      <c r="DD101" s="21"/>
      <c r="DE101" s="21"/>
      <c r="DF101" s="23"/>
      <c r="DG101" s="21"/>
      <c r="DH101" s="21"/>
      <c r="DI101" s="21"/>
      <c r="DJ101" s="23"/>
      <c r="DK101" s="21"/>
      <c r="DL101" s="21"/>
      <c r="DM101" s="21"/>
      <c r="DN101" s="23"/>
      <c r="DO101" s="21"/>
      <c r="DP101" s="21"/>
      <c r="DQ101" s="21"/>
      <c r="DR101" s="23"/>
      <c r="DS101" s="21"/>
      <c r="DT101" s="21"/>
      <c r="DU101" s="21"/>
      <c r="DV101" s="23"/>
      <c r="DW101" s="32"/>
      <c r="DX101" s="32"/>
      <c r="DY101" s="31"/>
      <c r="DZ101" s="30"/>
      <c r="EA101" s="32"/>
      <c r="EB101" s="32"/>
      <c r="EC101" s="31"/>
      <c r="ED101" s="30"/>
      <c r="EE101" s="32"/>
      <c r="EF101" s="32"/>
      <c r="EG101" s="31"/>
      <c r="EH101" s="30"/>
      <c r="EI101" s="32"/>
      <c r="EJ101" s="32"/>
      <c r="EK101" s="31"/>
      <c r="EL101" s="30"/>
      <c r="EM101" s="32"/>
      <c r="EN101" s="32"/>
      <c r="EO101" s="31"/>
      <c r="EP101" s="30"/>
      <c r="EQ101" s="32"/>
      <c r="ER101" s="32"/>
      <c r="ES101" s="31"/>
      <c r="ET101" s="30"/>
      <c r="EU101" s="32"/>
      <c r="EV101" s="32"/>
      <c r="EW101" s="31"/>
      <c r="EX101" s="30"/>
      <c r="EY101" s="32"/>
      <c r="EZ101" s="32"/>
      <c r="FA101" s="31"/>
      <c r="FB101" s="30"/>
      <c r="FC101" s="32"/>
      <c r="FD101" s="32"/>
      <c r="FE101" s="31"/>
      <c r="FF101" s="30"/>
      <c r="FG101" s="32"/>
      <c r="FH101" s="32"/>
      <c r="FI101" s="31"/>
      <c r="FJ101" s="30"/>
      <c r="FK101" s="32"/>
      <c r="FL101" s="32"/>
      <c r="FM101" s="31"/>
      <c r="FN101" s="30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  <c r="AAA101" s="3"/>
      <c r="AAB101" s="3"/>
      <c r="AAC101" s="3"/>
      <c r="AAD101" s="3"/>
      <c r="AAE101" s="3"/>
      <c r="AAF101" s="3"/>
      <c r="AAG101" s="3"/>
      <c r="AAH101" s="3"/>
      <c r="AAI101" s="3"/>
      <c r="AAJ101" s="3"/>
      <c r="AAK101" s="3"/>
      <c r="AAL101" s="3"/>
      <c r="AAM101" s="3"/>
    </row>
    <row r="102" spans="1:715" s="2" customFormat="1" ht="50" customHeight="1">
      <c r="A102" s="8"/>
      <c r="B102" s="12"/>
      <c r="C102" s="8"/>
      <c r="D102" s="8"/>
      <c r="E102" s="8"/>
      <c r="F102" s="23"/>
      <c r="G102" s="21"/>
      <c r="H102" s="21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  <c r="DA102" s="23"/>
      <c r="DB102" s="23"/>
      <c r="DC102" s="23"/>
      <c r="DD102" s="23"/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  <c r="DO102" s="23"/>
      <c r="DP102" s="23"/>
      <c r="DQ102" s="23"/>
      <c r="DR102" s="23"/>
      <c r="DS102" s="23"/>
      <c r="DT102" s="23"/>
      <c r="DU102" s="23"/>
      <c r="DV102" s="23"/>
      <c r="DW102" s="30"/>
      <c r="DX102" s="30"/>
      <c r="DY102" s="30"/>
      <c r="DZ102" s="30"/>
      <c r="EA102" s="30"/>
      <c r="EB102" s="30"/>
      <c r="EC102" s="30"/>
      <c r="ED102" s="30"/>
      <c r="EE102" s="30"/>
      <c r="EF102" s="30"/>
      <c r="EG102" s="30"/>
      <c r="EH102" s="30"/>
      <c r="EI102" s="30"/>
      <c r="EJ102" s="30"/>
      <c r="EK102" s="30"/>
      <c r="EL102" s="30"/>
      <c r="EM102" s="30"/>
      <c r="EN102" s="30"/>
      <c r="EO102" s="30"/>
      <c r="EP102" s="30"/>
      <c r="EQ102" s="30"/>
      <c r="ER102" s="30"/>
      <c r="ES102" s="30"/>
      <c r="ET102" s="30"/>
      <c r="EU102" s="30"/>
      <c r="EV102" s="30"/>
      <c r="EW102" s="30"/>
      <c r="EX102" s="30"/>
      <c r="EY102" s="30"/>
      <c r="EZ102" s="30"/>
      <c r="FA102" s="30"/>
      <c r="FB102" s="30"/>
      <c r="FC102" s="30"/>
      <c r="FD102" s="30"/>
      <c r="FE102" s="30"/>
      <c r="FF102" s="30"/>
      <c r="FG102" s="30"/>
      <c r="FH102" s="30"/>
      <c r="FI102" s="30"/>
      <c r="FJ102" s="30"/>
      <c r="FK102" s="30"/>
      <c r="FL102" s="30"/>
      <c r="FM102" s="30"/>
      <c r="FN102" s="30"/>
      <c r="FO102" s="30"/>
      <c r="FP102" s="30"/>
      <c r="FQ102" s="30"/>
      <c r="FR102" s="30"/>
      <c r="FS102" s="30"/>
      <c r="FT102" s="30"/>
      <c r="FU102" s="30"/>
      <c r="FV102" s="30"/>
      <c r="FW102" s="30"/>
      <c r="FX102" s="30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  <c r="AAA102" s="3"/>
      <c r="AAB102" s="3"/>
      <c r="AAC102" s="3"/>
      <c r="AAD102" s="3"/>
      <c r="AAE102" s="3"/>
      <c r="AAF102" s="3"/>
      <c r="AAG102" s="3"/>
      <c r="AAH102" s="3"/>
      <c r="AAI102" s="3"/>
      <c r="AAJ102" s="3"/>
      <c r="AAK102" s="3"/>
      <c r="AAL102" s="3"/>
      <c r="AAM102" s="3"/>
    </row>
    <row r="103" spans="1:715" s="2" customFormat="1" ht="50" customHeight="1">
      <c r="A103" s="8"/>
      <c r="B103" s="12"/>
      <c r="C103" s="8"/>
      <c r="D103" s="8"/>
      <c r="E103" s="8"/>
      <c r="F103" s="23"/>
      <c r="G103" s="21"/>
      <c r="H103" s="21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/>
      <c r="CW103" s="23"/>
      <c r="CX103" s="23"/>
      <c r="CY103" s="23"/>
      <c r="CZ103" s="23"/>
      <c r="DA103" s="23"/>
      <c r="DB103" s="23"/>
      <c r="DC103" s="23"/>
      <c r="DD103" s="23"/>
      <c r="DE103" s="23"/>
      <c r="DF103" s="23"/>
      <c r="DG103" s="23"/>
      <c r="DH103" s="23"/>
      <c r="DI103" s="23"/>
      <c r="DJ103" s="23"/>
      <c r="DK103" s="23"/>
      <c r="DL103" s="23"/>
      <c r="DM103" s="23"/>
      <c r="DN103" s="23"/>
      <c r="DO103" s="23"/>
      <c r="DP103" s="23"/>
      <c r="DQ103" s="23"/>
      <c r="DR103" s="23"/>
      <c r="DS103" s="23"/>
      <c r="DT103" s="23"/>
      <c r="DU103" s="23"/>
      <c r="DV103" s="23"/>
      <c r="DW103" s="30"/>
      <c r="DX103" s="30"/>
      <c r="DY103" s="30"/>
      <c r="DZ103" s="30"/>
      <c r="EA103" s="30"/>
      <c r="EB103" s="30"/>
      <c r="EC103" s="30"/>
      <c r="ED103" s="30"/>
      <c r="EE103" s="30"/>
      <c r="EF103" s="30"/>
      <c r="EG103" s="30"/>
      <c r="EH103" s="30"/>
      <c r="EI103" s="30"/>
      <c r="EJ103" s="30"/>
      <c r="EK103" s="30"/>
      <c r="EL103" s="30"/>
      <c r="EM103" s="30"/>
      <c r="EN103" s="30"/>
      <c r="EO103" s="30"/>
      <c r="EP103" s="30"/>
      <c r="EQ103" s="30"/>
      <c r="ER103" s="30"/>
      <c r="ES103" s="30"/>
      <c r="ET103" s="30"/>
      <c r="EU103" s="30"/>
      <c r="EV103" s="30"/>
      <c r="EW103" s="30"/>
      <c r="EX103" s="30"/>
      <c r="EY103" s="30"/>
      <c r="EZ103" s="30"/>
      <c r="FA103" s="30"/>
      <c r="FB103" s="30"/>
      <c r="FC103" s="30"/>
      <c r="FD103" s="30"/>
      <c r="FE103" s="30"/>
      <c r="FF103" s="30"/>
      <c r="FG103" s="30"/>
      <c r="FH103" s="30"/>
      <c r="FI103" s="30"/>
      <c r="FJ103" s="30"/>
      <c r="FK103" s="30"/>
      <c r="FL103" s="30"/>
      <c r="FM103" s="30"/>
      <c r="FN103" s="30"/>
      <c r="FO103" s="30"/>
      <c r="FP103" s="30"/>
      <c r="FQ103" s="30"/>
      <c r="FR103" s="30"/>
      <c r="FS103" s="30"/>
      <c r="FT103" s="30"/>
      <c r="FU103" s="30"/>
      <c r="FV103" s="30"/>
      <c r="FW103" s="30"/>
      <c r="FX103" s="30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  <c r="AAA103" s="3"/>
      <c r="AAB103" s="3"/>
      <c r="AAC103" s="3"/>
      <c r="AAD103" s="3"/>
      <c r="AAE103" s="3"/>
      <c r="AAF103" s="3"/>
      <c r="AAG103" s="3"/>
      <c r="AAH103" s="3"/>
      <c r="AAI103" s="3"/>
      <c r="AAJ103" s="3"/>
      <c r="AAK103" s="3"/>
      <c r="AAL103" s="3"/>
      <c r="AAM103" s="3"/>
    </row>
    <row r="104" spans="1:715" s="2" customFormat="1" ht="50" customHeight="1">
      <c r="A104" s="8"/>
      <c r="B104" s="12"/>
      <c r="C104" s="8"/>
      <c r="D104" s="8"/>
      <c r="E104" s="8"/>
      <c r="F104" s="23"/>
      <c r="G104" s="21"/>
      <c r="H104" s="21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1"/>
      <c r="CN104" s="21"/>
      <c r="CO104" s="21"/>
      <c r="CP104" s="23"/>
      <c r="CQ104" s="21"/>
      <c r="CR104" s="21"/>
      <c r="CS104" s="21"/>
      <c r="CT104" s="23"/>
      <c r="CU104" s="21"/>
      <c r="CV104" s="21"/>
      <c r="CW104" s="21"/>
      <c r="CX104" s="23"/>
      <c r="CY104" s="21"/>
      <c r="CZ104" s="21"/>
      <c r="DA104" s="21"/>
      <c r="DB104" s="23"/>
      <c r="DC104" s="21"/>
      <c r="DD104" s="21"/>
      <c r="DE104" s="21"/>
      <c r="DF104" s="23"/>
      <c r="DG104" s="21"/>
      <c r="DH104" s="21"/>
      <c r="DI104" s="21"/>
      <c r="DJ104" s="23"/>
      <c r="DK104" s="21"/>
      <c r="DL104" s="21"/>
      <c r="DM104" s="21"/>
      <c r="DN104" s="23"/>
      <c r="DO104" s="21"/>
      <c r="DP104" s="21"/>
      <c r="DQ104" s="21"/>
      <c r="DR104" s="23"/>
      <c r="DS104" s="21"/>
      <c r="DT104" s="21"/>
      <c r="DU104" s="21"/>
      <c r="DV104" s="23"/>
      <c r="DW104" s="32"/>
      <c r="DX104" s="32"/>
      <c r="DY104" s="31"/>
      <c r="DZ104" s="30"/>
      <c r="EA104" s="32"/>
      <c r="EB104" s="32"/>
      <c r="EC104" s="31"/>
      <c r="ED104" s="30"/>
      <c r="EE104" s="32"/>
      <c r="EF104" s="32"/>
      <c r="EG104" s="31"/>
      <c r="EH104" s="30"/>
      <c r="EI104" s="32"/>
      <c r="EJ104" s="32"/>
      <c r="EK104" s="31"/>
      <c r="EL104" s="30"/>
      <c r="EM104" s="32"/>
      <c r="EN104" s="32"/>
      <c r="EO104" s="31"/>
      <c r="EP104" s="30"/>
      <c r="EQ104" s="32"/>
      <c r="ER104" s="32"/>
      <c r="ES104" s="31"/>
      <c r="ET104" s="30"/>
      <c r="EU104" s="32"/>
      <c r="EV104" s="32"/>
      <c r="EW104" s="31"/>
      <c r="EX104" s="30"/>
      <c r="EY104" s="32"/>
      <c r="EZ104" s="32"/>
      <c r="FA104" s="31"/>
      <c r="FB104" s="30"/>
      <c r="FC104" s="32"/>
      <c r="FD104" s="32"/>
      <c r="FE104" s="31"/>
      <c r="FF104" s="30"/>
      <c r="FG104" s="32"/>
      <c r="FH104" s="32"/>
      <c r="FI104" s="31"/>
      <c r="FJ104" s="30"/>
      <c r="FK104" s="32"/>
      <c r="FL104" s="32"/>
      <c r="FM104" s="31"/>
      <c r="FN104" s="30"/>
      <c r="FO104" s="30"/>
      <c r="FP104" s="30"/>
      <c r="FQ104" s="30"/>
      <c r="FR104" s="30"/>
      <c r="FS104" s="30"/>
      <c r="FT104" s="30"/>
      <c r="FU104" s="30"/>
      <c r="FV104" s="30"/>
      <c r="FW104" s="30"/>
      <c r="FX104" s="30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  <c r="AAA104" s="3"/>
      <c r="AAB104" s="3"/>
      <c r="AAC104" s="3"/>
      <c r="AAD104" s="3"/>
      <c r="AAE104" s="3"/>
      <c r="AAF104" s="3"/>
      <c r="AAG104" s="3"/>
      <c r="AAH104" s="3"/>
      <c r="AAI104" s="3"/>
      <c r="AAJ104" s="3"/>
      <c r="AAK104" s="3"/>
      <c r="AAL104" s="3"/>
      <c r="AAM104" s="3"/>
    </row>
    <row r="105" spans="1:715" s="2" customFormat="1" ht="50" customHeight="1">
      <c r="A105" s="8"/>
      <c r="B105" s="12"/>
      <c r="C105" s="8"/>
      <c r="D105" s="8"/>
      <c r="E105" s="8"/>
      <c r="F105" s="23"/>
      <c r="G105" s="21"/>
      <c r="H105" s="21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1"/>
      <c r="CN105" s="21"/>
      <c r="CO105" s="21"/>
      <c r="CP105" s="23"/>
      <c r="CQ105" s="21"/>
      <c r="CR105" s="21"/>
      <c r="CS105" s="21"/>
      <c r="CT105" s="23"/>
      <c r="CU105" s="21"/>
      <c r="CV105" s="21"/>
      <c r="CW105" s="21"/>
      <c r="CX105" s="23"/>
      <c r="CY105" s="21"/>
      <c r="CZ105" s="21"/>
      <c r="DA105" s="21"/>
      <c r="DB105" s="23"/>
      <c r="DC105" s="21"/>
      <c r="DD105" s="21"/>
      <c r="DE105" s="21"/>
      <c r="DF105" s="23"/>
      <c r="DG105" s="21"/>
      <c r="DH105" s="21"/>
      <c r="DI105" s="21"/>
      <c r="DJ105" s="23"/>
      <c r="DK105" s="21"/>
      <c r="DL105" s="21"/>
      <c r="DM105" s="21"/>
      <c r="DN105" s="23"/>
      <c r="DO105" s="21"/>
      <c r="DP105" s="21"/>
      <c r="DQ105" s="21"/>
      <c r="DR105" s="23"/>
      <c r="DS105" s="21"/>
      <c r="DT105" s="21"/>
      <c r="DU105" s="21"/>
      <c r="DV105" s="23"/>
      <c r="DW105" s="32"/>
      <c r="DX105" s="32"/>
      <c r="DY105" s="31"/>
      <c r="DZ105" s="30"/>
      <c r="EA105" s="32"/>
      <c r="EB105" s="32"/>
      <c r="EC105" s="31"/>
      <c r="ED105" s="30"/>
      <c r="EE105" s="32"/>
      <c r="EF105" s="32"/>
      <c r="EG105" s="31"/>
      <c r="EH105" s="30"/>
      <c r="EI105" s="32"/>
      <c r="EJ105" s="32"/>
      <c r="EK105" s="31"/>
      <c r="EL105" s="30"/>
      <c r="EM105" s="32"/>
      <c r="EN105" s="32"/>
      <c r="EO105" s="31"/>
      <c r="EP105" s="30"/>
      <c r="EQ105" s="32"/>
      <c r="ER105" s="32"/>
      <c r="ES105" s="31"/>
      <c r="ET105" s="30"/>
      <c r="EU105" s="32"/>
      <c r="EV105" s="32"/>
      <c r="EW105" s="31"/>
      <c r="EX105" s="30"/>
      <c r="EY105" s="32"/>
      <c r="EZ105" s="32"/>
      <c r="FA105" s="31"/>
      <c r="FB105" s="30"/>
      <c r="FC105" s="32"/>
      <c r="FD105" s="32"/>
      <c r="FE105" s="31"/>
      <c r="FF105" s="30"/>
      <c r="FG105" s="32"/>
      <c r="FH105" s="32"/>
      <c r="FI105" s="31"/>
      <c r="FJ105" s="30"/>
      <c r="FK105" s="32"/>
      <c r="FL105" s="32"/>
      <c r="FM105" s="31"/>
      <c r="FN105" s="30"/>
      <c r="FO105" s="30"/>
      <c r="FP105" s="30"/>
      <c r="FQ105" s="30"/>
      <c r="FR105" s="30"/>
      <c r="FS105" s="30"/>
      <c r="FT105" s="30"/>
      <c r="FU105" s="30"/>
      <c r="FV105" s="30"/>
      <c r="FW105" s="30"/>
      <c r="FX105" s="30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  <c r="AAA105" s="3"/>
      <c r="AAB105" s="3"/>
      <c r="AAC105" s="3"/>
      <c r="AAD105" s="3"/>
      <c r="AAE105" s="3"/>
      <c r="AAF105" s="3"/>
      <c r="AAG105" s="3"/>
      <c r="AAH105" s="3"/>
      <c r="AAI105" s="3"/>
      <c r="AAJ105" s="3"/>
      <c r="AAK105" s="3"/>
      <c r="AAL105" s="3"/>
      <c r="AAM105" s="3"/>
    </row>
    <row r="106" spans="1:715" s="2" customFormat="1" ht="50" customHeight="1">
      <c r="A106" s="8"/>
      <c r="B106" s="12"/>
      <c r="C106" s="8"/>
      <c r="D106" s="8"/>
      <c r="E106" s="8"/>
      <c r="F106" s="23"/>
      <c r="G106" s="21"/>
      <c r="H106" s="21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/>
      <c r="DA106" s="23"/>
      <c r="DB106" s="23"/>
      <c r="DC106" s="23"/>
      <c r="DD106" s="23"/>
      <c r="DE106" s="23"/>
      <c r="DF106" s="23"/>
      <c r="DG106" s="23"/>
      <c r="DH106" s="23"/>
      <c r="DI106" s="23"/>
      <c r="DJ106" s="23"/>
      <c r="DK106" s="23"/>
      <c r="DL106" s="23"/>
      <c r="DM106" s="23"/>
      <c r="DN106" s="23"/>
      <c r="DO106" s="23"/>
      <c r="DP106" s="23"/>
      <c r="DQ106" s="23"/>
      <c r="DR106" s="23"/>
      <c r="DS106" s="23"/>
      <c r="DT106" s="23"/>
      <c r="DU106" s="23"/>
      <c r="DV106" s="23"/>
      <c r="DW106" s="30"/>
      <c r="DX106" s="30"/>
      <c r="DY106" s="30"/>
      <c r="DZ106" s="30"/>
      <c r="EA106" s="30"/>
      <c r="EB106" s="30"/>
      <c r="EC106" s="30"/>
      <c r="ED106" s="30"/>
      <c r="EE106" s="30"/>
      <c r="EF106" s="30"/>
      <c r="EG106" s="30"/>
      <c r="EH106" s="30"/>
      <c r="EI106" s="30"/>
      <c r="EJ106" s="30"/>
      <c r="EK106" s="30"/>
      <c r="EL106" s="30"/>
      <c r="EM106" s="30"/>
      <c r="EN106" s="30"/>
      <c r="EO106" s="30"/>
      <c r="EP106" s="30"/>
      <c r="EQ106" s="30"/>
      <c r="ER106" s="30"/>
      <c r="ES106" s="30"/>
      <c r="ET106" s="30"/>
      <c r="EU106" s="30"/>
      <c r="EV106" s="30"/>
      <c r="EW106" s="30"/>
      <c r="EX106" s="30"/>
      <c r="EY106" s="30"/>
      <c r="EZ106" s="30"/>
      <c r="FA106" s="30"/>
      <c r="FB106" s="30"/>
      <c r="FC106" s="30"/>
      <c r="FD106" s="30"/>
      <c r="FE106" s="30"/>
      <c r="FF106" s="30"/>
      <c r="FG106" s="30"/>
      <c r="FH106" s="30"/>
      <c r="FI106" s="30"/>
      <c r="FJ106" s="30"/>
      <c r="FK106" s="30"/>
      <c r="FL106" s="30"/>
      <c r="FM106" s="30"/>
      <c r="FN106" s="30"/>
      <c r="FO106" s="30"/>
      <c r="FP106" s="30"/>
      <c r="FQ106" s="30"/>
      <c r="FR106" s="30"/>
      <c r="FS106" s="30"/>
      <c r="FT106" s="30"/>
      <c r="FU106" s="30"/>
      <c r="FV106" s="30"/>
      <c r="FW106" s="30"/>
      <c r="FX106" s="30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  <c r="AAA106" s="3"/>
      <c r="AAB106" s="3"/>
      <c r="AAC106" s="3"/>
      <c r="AAD106" s="3"/>
      <c r="AAE106" s="3"/>
      <c r="AAF106" s="3"/>
      <c r="AAG106" s="3"/>
      <c r="AAH106" s="3"/>
      <c r="AAI106" s="3"/>
      <c r="AAJ106" s="3"/>
      <c r="AAK106" s="3"/>
      <c r="AAL106" s="3"/>
      <c r="AAM106" s="3"/>
    </row>
    <row r="107" spans="1:715" s="2" customFormat="1" ht="50" customHeight="1">
      <c r="A107" s="8"/>
      <c r="B107" s="12"/>
      <c r="C107" s="8"/>
      <c r="D107" s="8"/>
      <c r="E107" s="8"/>
      <c r="F107" s="23"/>
      <c r="G107" s="21"/>
      <c r="H107" s="21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/>
      <c r="DA107" s="23"/>
      <c r="DB107" s="23"/>
      <c r="DC107" s="23"/>
      <c r="DD107" s="23"/>
      <c r="DE107" s="23"/>
      <c r="DF107" s="23"/>
      <c r="DG107" s="23"/>
      <c r="DH107" s="23"/>
      <c r="DI107" s="23"/>
      <c r="DJ107" s="23"/>
      <c r="DK107" s="23"/>
      <c r="DL107" s="23"/>
      <c r="DM107" s="23"/>
      <c r="DN107" s="23"/>
      <c r="DO107" s="23"/>
      <c r="DP107" s="23"/>
      <c r="DQ107" s="23"/>
      <c r="DR107" s="23"/>
      <c r="DS107" s="23"/>
      <c r="DT107" s="23"/>
      <c r="DU107" s="23"/>
      <c r="DV107" s="23"/>
      <c r="DW107" s="30"/>
      <c r="DX107" s="30"/>
      <c r="DY107" s="30"/>
      <c r="DZ107" s="30"/>
      <c r="EA107" s="30"/>
      <c r="EB107" s="30"/>
      <c r="EC107" s="30"/>
      <c r="ED107" s="30"/>
      <c r="EE107" s="30"/>
      <c r="EF107" s="30"/>
      <c r="EG107" s="30"/>
      <c r="EH107" s="30"/>
      <c r="EI107" s="30"/>
      <c r="EJ107" s="30"/>
      <c r="EK107" s="30"/>
      <c r="EL107" s="30"/>
      <c r="EM107" s="30"/>
      <c r="EN107" s="30"/>
      <c r="EO107" s="30"/>
      <c r="EP107" s="30"/>
      <c r="EQ107" s="30"/>
      <c r="ER107" s="30"/>
      <c r="ES107" s="30"/>
      <c r="ET107" s="30"/>
      <c r="EU107" s="30"/>
      <c r="EV107" s="30"/>
      <c r="EW107" s="30"/>
      <c r="EX107" s="30"/>
      <c r="EY107" s="30"/>
      <c r="EZ107" s="30"/>
      <c r="FA107" s="30"/>
      <c r="FB107" s="30"/>
      <c r="FC107" s="30"/>
      <c r="FD107" s="30"/>
      <c r="FE107" s="30"/>
      <c r="FF107" s="30"/>
      <c r="FG107" s="30"/>
      <c r="FH107" s="30"/>
      <c r="FI107" s="30"/>
      <c r="FJ107" s="30"/>
      <c r="FK107" s="30"/>
      <c r="FL107" s="30"/>
      <c r="FM107" s="30"/>
      <c r="FN107" s="30"/>
      <c r="FO107" s="30"/>
      <c r="FP107" s="30"/>
      <c r="FQ107" s="30"/>
      <c r="FR107" s="30"/>
      <c r="FS107" s="30"/>
      <c r="FT107" s="30"/>
      <c r="FU107" s="30"/>
      <c r="FV107" s="30"/>
      <c r="FW107" s="30"/>
      <c r="FX107" s="30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  <c r="AAA107" s="3"/>
      <c r="AAB107" s="3"/>
      <c r="AAC107" s="3"/>
      <c r="AAD107" s="3"/>
      <c r="AAE107" s="3"/>
      <c r="AAF107" s="3"/>
      <c r="AAG107" s="3"/>
      <c r="AAH107" s="3"/>
      <c r="AAI107" s="3"/>
      <c r="AAJ107" s="3"/>
      <c r="AAK107" s="3"/>
      <c r="AAL107" s="3"/>
      <c r="AAM107" s="3"/>
    </row>
    <row r="108" spans="1:715" s="2" customFormat="1" ht="50" customHeight="1">
      <c r="A108" s="8"/>
      <c r="B108" s="12"/>
      <c r="C108" s="8"/>
      <c r="D108" s="8"/>
      <c r="E108" s="8"/>
      <c r="F108" s="23"/>
      <c r="G108" s="21"/>
      <c r="H108" s="21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J108" s="23"/>
      <c r="BK108" s="23"/>
      <c r="BL108" s="23"/>
      <c r="BM108" s="23"/>
      <c r="BN108" s="23"/>
      <c r="BO108" s="23"/>
      <c r="BP108" s="23"/>
      <c r="BQ108" s="23"/>
      <c r="BR108" s="23"/>
      <c r="BS108" s="23"/>
      <c r="BT108" s="23"/>
      <c r="BU108" s="23"/>
      <c r="BV108" s="23"/>
      <c r="BW108" s="23"/>
      <c r="BX108" s="23"/>
      <c r="BY108" s="23"/>
      <c r="BZ108" s="23"/>
      <c r="CA108" s="23"/>
      <c r="CB108" s="23"/>
      <c r="CC108" s="23"/>
      <c r="CD108" s="23"/>
      <c r="CE108" s="23"/>
      <c r="CF108" s="23"/>
      <c r="CG108" s="23"/>
      <c r="CH108" s="23"/>
      <c r="CI108" s="23"/>
      <c r="CJ108" s="23"/>
      <c r="CK108" s="23"/>
      <c r="CL108" s="23"/>
      <c r="CM108" s="21"/>
      <c r="CN108" s="21"/>
      <c r="CO108" s="21"/>
      <c r="CP108" s="23"/>
      <c r="CQ108" s="21"/>
      <c r="CR108" s="21"/>
      <c r="CS108" s="21"/>
      <c r="CT108" s="23"/>
      <c r="CU108" s="21"/>
      <c r="CV108" s="21"/>
      <c r="CW108" s="21"/>
      <c r="CX108" s="23"/>
      <c r="CY108" s="21"/>
      <c r="CZ108" s="21"/>
      <c r="DA108" s="21"/>
      <c r="DB108" s="23"/>
      <c r="DC108" s="21"/>
      <c r="DD108" s="21"/>
      <c r="DE108" s="21"/>
      <c r="DF108" s="23"/>
      <c r="DG108" s="21"/>
      <c r="DH108" s="21"/>
      <c r="DI108" s="21"/>
      <c r="DJ108" s="23"/>
      <c r="DK108" s="21"/>
      <c r="DL108" s="21"/>
      <c r="DM108" s="21"/>
      <c r="DN108" s="23"/>
      <c r="DO108" s="21"/>
      <c r="DP108" s="21"/>
      <c r="DQ108" s="21"/>
      <c r="DR108" s="23"/>
      <c r="DS108" s="21"/>
      <c r="DT108" s="21"/>
      <c r="DU108" s="21"/>
      <c r="DV108" s="23"/>
      <c r="DW108" s="32"/>
      <c r="DX108" s="32"/>
      <c r="DY108" s="31"/>
      <c r="DZ108" s="30"/>
      <c r="EA108" s="32"/>
      <c r="EB108" s="32"/>
      <c r="EC108" s="31"/>
      <c r="ED108" s="30"/>
      <c r="EE108" s="32"/>
      <c r="EF108" s="32"/>
      <c r="EG108" s="31"/>
      <c r="EH108" s="30"/>
      <c r="EI108" s="32"/>
      <c r="EJ108" s="32"/>
      <c r="EK108" s="31"/>
      <c r="EL108" s="30"/>
      <c r="EM108" s="32"/>
      <c r="EN108" s="32"/>
      <c r="EO108" s="31"/>
      <c r="EP108" s="30"/>
      <c r="EQ108" s="32"/>
      <c r="ER108" s="32"/>
      <c r="ES108" s="31"/>
      <c r="ET108" s="30"/>
      <c r="EU108" s="32"/>
      <c r="EV108" s="32"/>
      <c r="EW108" s="31"/>
      <c r="EX108" s="30"/>
      <c r="EY108" s="32"/>
      <c r="EZ108" s="32"/>
      <c r="FA108" s="31"/>
      <c r="FB108" s="30"/>
      <c r="FC108" s="32"/>
      <c r="FD108" s="32"/>
      <c r="FE108" s="31"/>
      <c r="FF108" s="30"/>
      <c r="FG108" s="32"/>
      <c r="FH108" s="32"/>
      <c r="FI108" s="31"/>
      <c r="FJ108" s="30"/>
      <c r="FK108" s="32"/>
      <c r="FL108" s="32"/>
      <c r="FM108" s="31"/>
      <c r="FN108" s="30"/>
      <c r="FO108" s="30"/>
      <c r="FP108" s="30"/>
      <c r="FQ108" s="30"/>
      <c r="FR108" s="30"/>
      <c r="FS108" s="30"/>
      <c r="FT108" s="30"/>
      <c r="FU108" s="30"/>
      <c r="FV108" s="30"/>
      <c r="FW108" s="30"/>
      <c r="FX108" s="30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  <c r="AAA108" s="3"/>
      <c r="AAB108" s="3"/>
      <c r="AAC108" s="3"/>
      <c r="AAD108" s="3"/>
      <c r="AAE108" s="3"/>
      <c r="AAF108" s="3"/>
      <c r="AAG108" s="3"/>
      <c r="AAH108" s="3"/>
      <c r="AAI108" s="3"/>
      <c r="AAJ108" s="3"/>
      <c r="AAK108" s="3"/>
      <c r="AAL108" s="3"/>
      <c r="AAM108" s="3"/>
    </row>
    <row r="109" spans="1:715" s="2" customFormat="1" ht="50" customHeight="1">
      <c r="A109" s="8"/>
      <c r="B109" s="12"/>
      <c r="C109" s="8"/>
      <c r="D109" s="8"/>
      <c r="E109" s="8"/>
      <c r="F109" s="23"/>
      <c r="G109" s="21"/>
      <c r="H109" s="21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1"/>
      <c r="CN109" s="21"/>
      <c r="CO109" s="21"/>
      <c r="CP109" s="23"/>
      <c r="CQ109" s="21"/>
      <c r="CR109" s="21"/>
      <c r="CS109" s="21"/>
      <c r="CT109" s="23"/>
      <c r="CU109" s="21"/>
      <c r="CV109" s="21"/>
      <c r="CW109" s="21"/>
      <c r="CX109" s="23"/>
      <c r="CY109" s="21"/>
      <c r="CZ109" s="21"/>
      <c r="DA109" s="21"/>
      <c r="DB109" s="23"/>
      <c r="DC109" s="21"/>
      <c r="DD109" s="21"/>
      <c r="DE109" s="21"/>
      <c r="DF109" s="23"/>
      <c r="DG109" s="21"/>
      <c r="DH109" s="21"/>
      <c r="DI109" s="21"/>
      <c r="DJ109" s="23"/>
      <c r="DK109" s="21"/>
      <c r="DL109" s="21"/>
      <c r="DM109" s="21"/>
      <c r="DN109" s="23"/>
      <c r="DO109" s="21"/>
      <c r="DP109" s="21"/>
      <c r="DQ109" s="21"/>
      <c r="DR109" s="23"/>
      <c r="DS109" s="21"/>
      <c r="DT109" s="21"/>
      <c r="DU109" s="21"/>
      <c r="DV109" s="23"/>
      <c r="DW109" s="32"/>
      <c r="DX109" s="32"/>
      <c r="DY109" s="31"/>
      <c r="DZ109" s="30"/>
      <c r="EA109" s="32"/>
      <c r="EB109" s="32"/>
      <c r="EC109" s="31"/>
      <c r="ED109" s="30"/>
      <c r="EE109" s="32"/>
      <c r="EF109" s="32"/>
      <c r="EG109" s="31"/>
      <c r="EH109" s="30"/>
      <c r="EI109" s="32"/>
      <c r="EJ109" s="32"/>
      <c r="EK109" s="31"/>
      <c r="EL109" s="30"/>
      <c r="EM109" s="32"/>
      <c r="EN109" s="32"/>
      <c r="EO109" s="31"/>
      <c r="EP109" s="30"/>
      <c r="EQ109" s="32"/>
      <c r="ER109" s="32"/>
      <c r="ES109" s="31"/>
      <c r="ET109" s="30"/>
      <c r="EU109" s="32"/>
      <c r="EV109" s="32"/>
      <c r="EW109" s="31"/>
      <c r="EX109" s="30"/>
      <c r="EY109" s="32"/>
      <c r="EZ109" s="32"/>
      <c r="FA109" s="31"/>
      <c r="FB109" s="30"/>
      <c r="FC109" s="32"/>
      <c r="FD109" s="32"/>
      <c r="FE109" s="31"/>
      <c r="FF109" s="30"/>
      <c r="FG109" s="32"/>
      <c r="FH109" s="32"/>
      <c r="FI109" s="31"/>
      <c r="FJ109" s="30"/>
      <c r="FK109" s="32"/>
      <c r="FL109" s="32"/>
      <c r="FM109" s="31"/>
      <c r="FN109" s="30"/>
      <c r="FO109" s="30"/>
      <c r="FP109" s="30"/>
      <c r="FQ109" s="30"/>
      <c r="FR109" s="30"/>
      <c r="FS109" s="30"/>
      <c r="FT109" s="30"/>
      <c r="FU109" s="30"/>
      <c r="FV109" s="30"/>
      <c r="FW109" s="30"/>
      <c r="FX109" s="30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  <c r="AAA109" s="3"/>
      <c r="AAB109" s="3"/>
      <c r="AAC109" s="3"/>
      <c r="AAD109" s="3"/>
      <c r="AAE109" s="3"/>
      <c r="AAF109" s="3"/>
      <c r="AAG109" s="3"/>
      <c r="AAH109" s="3"/>
      <c r="AAI109" s="3"/>
      <c r="AAJ109" s="3"/>
      <c r="AAK109" s="3"/>
      <c r="AAL109" s="3"/>
      <c r="AAM109" s="3"/>
    </row>
    <row r="110" spans="1:715" s="2" customFormat="1" ht="50" customHeight="1">
      <c r="A110" s="8"/>
      <c r="B110" s="12"/>
      <c r="C110" s="8"/>
      <c r="D110" s="8"/>
      <c r="E110" s="8"/>
      <c r="F110" s="23"/>
      <c r="G110" s="21"/>
      <c r="H110" s="21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N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  <c r="CP110" s="23"/>
      <c r="CQ110" s="23"/>
      <c r="CR110" s="23"/>
      <c r="CS110" s="23"/>
      <c r="CT110" s="23"/>
      <c r="CU110" s="23"/>
      <c r="CV110" s="23"/>
      <c r="CW110" s="23"/>
      <c r="CX110" s="23"/>
      <c r="CY110" s="23"/>
      <c r="CZ110" s="23"/>
      <c r="DA110" s="23"/>
      <c r="DB110" s="23"/>
      <c r="DC110" s="23"/>
      <c r="DD110" s="23"/>
      <c r="DE110" s="23"/>
      <c r="DF110" s="23"/>
      <c r="DG110" s="23"/>
      <c r="DH110" s="23"/>
      <c r="DI110" s="23"/>
      <c r="DJ110" s="23"/>
      <c r="DK110" s="23"/>
      <c r="DL110" s="23"/>
      <c r="DM110" s="23"/>
      <c r="DN110" s="23"/>
      <c r="DO110" s="23"/>
      <c r="DP110" s="23"/>
      <c r="DQ110" s="23"/>
      <c r="DR110" s="23"/>
      <c r="DS110" s="23"/>
      <c r="DT110" s="23"/>
      <c r="DU110" s="23"/>
      <c r="DV110" s="23"/>
      <c r="DW110" s="30"/>
      <c r="DX110" s="30"/>
      <c r="DY110" s="30"/>
      <c r="DZ110" s="30"/>
      <c r="EA110" s="30"/>
      <c r="EB110" s="30"/>
      <c r="EC110" s="30"/>
      <c r="ED110" s="30"/>
      <c r="EE110" s="30"/>
      <c r="EF110" s="30"/>
      <c r="EG110" s="30"/>
      <c r="EH110" s="30"/>
      <c r="EI110" s="30"/>
      <c r="EJ110" s="30"/>
      <c r="EK110" s="30"/>
      <c r="EL110" s="30"/>
      <c r="EM110" s="30"/>
      <c r="EN110" s="30"/>
      <c r="EO110" s="30"/>
      <c r="EP110" s="30"/>
      <c r="EQ110" s="30"/>
      <c r="ER110" s="30"/>
      <c r="ES110" s="30"/>
      <c r="ET110" s="30"/>
      <c r="EU110" s="30"/>
      <c r="EV110" s="30"/>
      <c r="EW110" s="30"/>
      <c r="EX110" s="30"/>
      <c r="EY110" s="30"/>
      <c r="EZ110" s="30"/>
      <c r="FA110" s="30"/>
      <c r="FB110" s="30"/>
      <c r="FC110" s="30"/>
      <c r="FD110" s="30"/>
      <c r="FE110" s="30"/>
      <c r="FF110" s="30"/>
      <c r="FG110" s="30"/>
      <c r="FH110" s="30"/>
      <c r="FI110" s="30"/>
      <c r="FJ110" s="30"/>
      <c r="FK110" s="30"/>
      <c r="FL110" s="30"/>
      <c r="FM110" s="30"/>
      <c r="FN110" s="30"/>
      <c r="FO110" s="30"/>
      <c r="FP110" s="30"/>
      <c r="FQ110" s="30"/>
      <c r="FR110" s="30"/>
      <c r="FS110" s="30"/>
      <c r="FT110" s="30"/>
      <c r="FU110" s="30"/>
      <c r="FV110" s="30"/>
      <c r="FW110" s="30"/>
      <c r="FX110" s="30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  <c r="AAA110" s="3"/>
      <c r="AAB110" s="3"/>
      <c r="AAC110" s="3"/>
      <c r="AAD110" s="3"/>
      <c r="AAE110" s="3"/>
      <c r="AAF110" s="3"/>
      <c r="AAG110" s="3"/>
      <c r="AAH110" s="3"/>
      <c r="AAI110" s="3"/>
      <c r="AAJ110" s="3"/>
      <c r="AAK110" s="3"/>
      <c r="AAL110" s="3"/>
      <c r="AAM110" s="3"/>
    </row>
    <row r="111" spans="1:715" s="2" customFormat="1" ht="50" customHeight="1">
      <c r="A111" s="8"/>
      <c r="B111" s="12"/>
      <c r="C111" s="8"/>
      <c r="D111" s="8"/>
      <c r="E111" s="8"/>
      <c r="F111" s="23"/>
      <c r="G111" s="21"/>
      <c r="H111" s="21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J111" s="23"/>
      <c r="BK111" s="23"/>
      <c r="BL111" s="23"/>
      <c r="BM111" s="23"/>
      <c r="BN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  <c r="CP111" s="23"/>
      <c r="CQ111" s="23"/>
      <c r="CR111" s="23"/>
      <c r="CS111" s="23"/>
      <c r="CT111" s="23"/>
      <c r="CU111" s="23"/>
      <c r="CV111" s="23"/>
      <c r="CW111" s="23"/>
      <c r="CX111" s="23"/>
      <c r="CY111" s="23"/>
      <c r="CZ111" s="23"/>
      <c r="DA111" s="23"/>
      <c r="DB111" s="23"/>
      <c r="DC111" s="23"/>
      <c r="DD111" s="23"/>
      <c r="DE111" s="23"/>
      <c r="DF111" s="23"/>
      <c r="DG111" s="23"/>
      <c r="DH111" s="23"/>
      <c r="DI111" s="23"/>
      <c r="DJ111" s="23"/>
      <c r="DK111" s="23"/>
      <c r="DL111" s="23"/>
      <c r="DM111" s="23"/>
      <c r="DN111" s="23"/>
      <c r="DO111" s="23"/>
      <c r="DP111" s="23"/>
      <c r="DQ111" s="23"/>
      <c r="DR111" s="23"/>
      <c r="DS111" s="23"/>
      <c r="DT111" s="23"/>
      <c r="DU111" s="23"/>
      <c r="DV111" s="23"/>
      <c r="DW111" s="30"/>
      <c r="DX111" s="30"/>
      <c r="DY111" s="30"/>
      <c r="DZ111" s="30"/>
      <c r="EA111" s="30"/>
      <c r="EB111" s="30"/>
      <c r="EC111" s="30"/>
      <c r="ED111" s="30"/>
      <c r="EE111" s="30"/>
      <c r="EF111" s="30"/>
      <c r="EG111" s="30"/>
      <c r="EH111" s="30"/>
      <c r="EI111" s="30"/>
      <c r="EJ111" s="30"/>
      <c r="EK111" s="30"/>
      <c r="EL111" s="30"/>
      <c r="EM111" s="30"/>
      <c r="EN111" s="30"/>
      <c r="EO111" s="30"/>
      <c r="EP111" s="30"/>
      <c r="EQ111" s="30"/>
      <c r="ER111" s="30"/>
      <c r="ES111" s="30"/>
      <c r="ET111" s="30"/>
      <c r="EU111" s="30"/>
      <c r="EV111" s="30"/>
      <c r="EW111" s="30"/>
      <c r="EX111" s="30"/>
      <c r="EY111" s="30"/>
      <c r="EZ111" s="30"/>
      <c r="FA111" s="30"/>
      <c r="FB111" s="30"/>
      <c r="FC111" s="30"/>
      <c r="FD111" s="30"/>
      <c r="FE111" s="30"/>
      <c r="FF111" s="30"/>
      <c r="FG111" s="30"/>
      <c r="FH111" s="30"/>
      <c r="FI111" s="30"/>
      <c r="FJ111" s="30"/>
      <c r="FK111" s="30"/>
      <c r="FL111" s="30"/>
      <c r="FM111" s="30"/>
      <c r="FN111" s="30"/>
      <c r="FO111" s="30"/>
      <c r="FP111" s="30"/>
      <c r="FQ111" s="30"/>
      <c r="FR111" s="30"/>
      <c r="FS111" s="30"/>
      <c r="FT111" s="30"/>
      <c r="FU111" s="30"/>
      <c r="FV111" s="30"/>
      <c r="FW111" s="30"/>
      <c r="FX111" s="30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  <c r="AAA111" s="3"/>
      <c r="AAB111" s="3"/>
      <c r="AAC111" s="3"/>
      <c r="AAD111" s="3"/>
      <c r="AAE111" s="3"/>
      <c r="AAF111" s="3"/>
      <c r="AAG111" s="3"/>
      <c r="AAH111" s="3"/>
      <c r="AAI111" s="3"/>
      <c r="AAJ111" s="3"/>
      <c r="AAK111" s="3"/>
      <c r="AAL111" s="3"/>
      <c r="AAM111" s="3"/>
    </row>
    <row r="112" spans="1:715" s="2" customFormat="1" ht="50" customHeight="1">
      <c r="A112" s="8"/>
      <c r="B112" s="12"/>
      <c r="C112" s="8"/>
      <c r="D112" s="8"/>
      <c r="E112" s="8"/>
      <c r="F112" s="23"/>
      <c r="G112" s="21"/>
      <c r="H112" s="21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N112" s="23"/>
      <c r="BO112" s="23"/>
      <c r="BP112" s="23"/>
      <c r="BQ112" s="23"/>
      <c r="BR112" s="23"/>
      <c r="BS112" s="23"/>
      <c r="BT112" s="23"/>
      <c r="BU112" s="23"/>
      <c r="BV112" s="23"/>
      <c r="BW112" s="23"/>
      <c r="BX112" s="23"/>
      <c r="BY112" s="23"/>
      <c r="BZ112" s="23"/>
      <c r="CA112" s="23"/>
      <c r="CB112" s="23"/>
      <c r="CC112" s="23"/>
      <c r="CD112" s="23"/>
      <c r="CE112" s="23"/>
      <c r="CF112" s="23"/>
      <c r="CG112" s="23"/>
      <c r="CH112" s="23"/>
      <c r="CI112" s="23"/>
      <c r="CJ112" s="23"/>
      <c r="CK112" s="23"/>
      <c r="CL112" s="23"/>
      <c r="CM112" s="21"/>
      <c r="CN112" s="21"/>
      <c r="CO112" s="21"/>
      <c r="CP112" s="23"/>
      <c r="CQ112" s="21"/>
      <c r="CR112" s="21"/>
      <c r="CS112" s="21"/>
      <c r="CT112" s="23"/>
      <c r="CU112" s="21"/>
      <c r="CV112" s="21"/>
      <c r="CW112" s="21"/>
      <c r="CX112" s="23"/>
      <c r="CY112" s="21"/>
      <c r="CZ112" s="21"/>
      <c r="DA112" s="21"/>
      <c r="DB112" s="23"/>
      <c r="DC112" s="21"/>
      <c r="DD112" s="21"/>
      <c r="DE112" s="21"/>
      <c r="DF112" s="23"/>
      <c r="DG112" s="21"/>
      <c r="DH112" s="21"/>
      <c r="DI112" s="21"/>
      <c r="DJ112" s="23"/>
      <c r="DK112" s="21"/>
      <c r="DL112" s="21"/>
      <c r="DM112" s="21"/>
      <c r="DN112" s="23"/>
      <c r="DO112" s="21"/>
      <c r="DP112" s="21"/>
      <c r="DQ112" s="21"/>
      <c r="DR112" s="23"/>
      <c r="DS112" s="21"/>
      <c r="DT112" s="21"/>
      <c r="DU112" s="21"/>
      <c r="DV112" s="23"/>
      <c r="DW112" s="32"/>
      <c r="DX112" s="32"/>
      <c r="DY112" s="31"/>
      <c r="DZ112" s="30"/>
      <c r="EA112" s="32"/>
      <c r="EB112" s="32"/>
      <c r="EC112" s="31"/>
      <c r="ED112" s="30"/>
      <c r="EE112" s="32"/>
      <c r="EF112" s="32"/>
      <c r="EG112" s="31"/>
      <c r="EH112" s="30"/>
      <c r="EI112" s="32"/>
      <c r="EJ112" s="32"/>
      <c r="EK112" s="31"/>
      <c r="EL112" s="30"/>
      <c r="EM112" s="32"/>
      <c r="EN112" s="32"/>
      <c r="EO112" s="31"/>
      <c r="EP112" s="30"/>
      <c r="EQ112" s="32"/>
      <c r="ER112" s="32"/>
      <c r="ES112" s="31"/>
      <c r="ET112" s="30"/>
      <c r="EU112" s="32"/>
      <c r="EV112" s="32"/>
      <c r="EW112" s="31"/>
      <c r="EX112" s="30"/>
      <c r="EY112" s="32"/>
      <c r="EZ112" s="32"/>
      <c r="FA112" s="31"/>
      <c r="FB112" s="30"/>
      <c r="FC112" s="32"/>
      <c r="FD112" s="32"/>
      <c r="FE112" s="31"/>
      <c r="FF112" s="30"/>
      <c r="FG112" s="32"/>
      <c r="FH112" s="32"/>
      <c r="FI112" s="31"/>
      <c r="FJ112" s="30"/>
      <c r="FK112" s="32"/>
      <c r="FL112" s="32"/>
      <c r="FM112" s="31"/>
      <c r="FN112" s="30"/>
      <c r="FO112" s="30"/>
      <c r="FP112" s="30"/>
      <c r="FQ112" s="30"/>
      <c r="FR112" s="30"/>
      <c r="FS112" s="30"/>
      <c r="FT112" s="30"/>
      <c r="FU112" s="30"/>
      <c r="FV112" s="30"/>
      <c r="FW112" s="30"/>
      <c r="FX112" s="30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  <c r="AAA112" s="3"/>
      <c r="AAB112" s="3"/>
      <c r="AAC112" s="3"/>
      <c r="AAD112" s="3"/>
      <c r="AAE112" s="3"/>
      <c r="AAF112" s="3"/>
      <c r="AAG112" s="3"/>
      <c r="AAH112" s="3"/>
      <c r="AAI112" s="3"/>
      <c r="AAJ112" s="3"/>
      <c r="AAK112" s="3"/>
      <c r="AAL112" s="3"/>
      <c r="AAM112" s="3"/>
    </row>
    <row r="113" spans="1:715" s="2" customFormat="1" ht="50" customHeight="1">
      <c r="A113" s="8"/>
      <c r="B113" s="12"/>
      <c r="C113" s="8"/>
      <c r="D113" s="8"/>
      <c r="E113" s="8"/>
      <c r="F113" s="23"/>
      <c r="G113" s="21"/>
      <c r="H113" s="21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  <c r="BI113" s="23"/>
      <c r="BJ113" s="23"/>
      <c r="BK113" s="23"/>
      <c r="BL113" s="23"/>
      <c r="BM113" s="23"/>
      <c r="BN113" s="23"/>
      <c r="BO113" s="23"/>
      <c r="BP113" s="23"/>
      <c r="BQ113" s="23"/>
      <c r="BR113" s="23"/>
      <c r="BS113" s="23"/>
      <c r="BT113" s="23"/>
      <c r="BU113" s="23"/>
      <c r="BV113" s="23"/>
      <c r="BW113" s="23"/>
      <c r="BX113" s="23"/>
      <c r="BY113" s="23"/>
      <c r="BZ113" s="23"/>
      <c r="CA113" s="23"/>
      <c r="CB113" s="23"/>
      <c r="CC113" s="23"/>
      <c r="CD113" s="23"/>
      <c r="CE113" s="23"/>
      <c r="CF113" s="23"/>
      <c r="CG113" s="23"/>
      <c r="CH113" s="23"/>
      <c r="CI113" s="23"/>
      <c r="CJ113" s="23"/>
      <c r="CK113" s="23"/>
      <c r="CL113" s="23"/>
      <c r="CM113" s="21"/>
      <c r="CN113" s="21"/>
      <c r="CO113" s="21"/>
      <c r="CP113" s="23"/>
      <c r="CQ113" s="21"/>
      <c r="CR113" s="21"/>
      <c r="CS113" s="21"/>
      <c r="CT113" s="23"/>
      <c r="CU113" s="21"/>
      <c r="CV113" s="21"/>
      <c r="CW113" s="21"/>
      <c r="CX113" s="23"/>
      <c r="CY113" s="21"/>
      <c r="CZ113" s="21"/>
      <c r="DA113" s="21"/>
      <c r="DB113" s="23"/>
      <c r="DC113" s="21"/>
      <c r="DD113" s="21"/>
      <c r="DE113" s="21"/>
      <c r="DF113" s="23"/>
      <c r="DG113" s="21"/>
      <c r="DH113" s="21"/>
      <c r="DI113" s="21"/>
      <c r="DJ113" s="23"/>
      <c r="DK113" s="21"/>
      <c r="DL113" s="21"/>
      <c r="DM113" s="21"/>
      <c r="DN113" s="23"/>
      <c r="DO113" s="21"/>
      <c r="DP113" s="21"/>
      <c r="DQ113" s="21"/>
      <c r="DR113" s="23"/>
      <c r="DS113" s="21"/>
      <c r="DT113" s="21"/>
      <c r="DU113" s="21"/>
      <c r="DV113" s="23"/>
      <c r="DW113" s="32"/>
      <c r="DX113" s="32"/>
      <c r="DY113" s="31"/>
      <c r="DZ113" s="30"/>
      <c r="EA113" s="32"/>
      <c r="EB113" s="32"/>
      <c r="EC113" s="31"/>
      <c r="ED113" s="30"/>
      <c r="EE113" s="32"/>
      <c r="EF113" s="32"/>
      <c r="EG113" s="31"/>
      <c r="EH113" s="30"/>
      <c r="EI113" s="32"/>
      <c r="EJ113" s="32"/>
      <c r="EK113" s="31"/>
      <c r="EL113" s="30"/>
      <c r="EM113" s="32"/>
      <c r="EN113" s="32"/>
      <c r="EO113" s="31"/>
      <c r="EP113" s="30"/>
      <c r="EQ113" s="32"/>
      <c r="ER113" s="32"/>
      <c r="ES113" s="31"/>
      <c r="ET113" s="30"/>
      <c r="EU113" s="32"/>
      <c r="EV113" s="32"/>
      <c r="EW113" s="31"/>
      <c r="EX113" s="30"/>
      <c r="EY113" s="32"/>
      <c r="EZ113" s="32"/>
      <c r="FA113" s="31"/>
      <c r="FB113" s="30"/>
      <c r="FC113" s="32"/>
      <c r="FD113" s="32"/>
      <c r="FE113" s="31"/>
      <c r="FF113" s="30"/>
      <c r="FG113" s="32"/>
      <c r="FH113" s="32"/>
      <c r="FI113" s="31"/>
      <c r="FJ113" s="30"/>
      <c r="FK113" s="32"/>
      <c r="FL113" s="32"/>
      <c r="FM113" s="31"/>
      <c r="FN113" s="30"/>
      <c r="FO113" s="30"/>
      <c r="FP113" s="30"/>
      <c r="FQ113" s="30"/>
      <c r="FR113" s="30"/>
      <c r="FS113" s="30"/>
      <c r="FT113" s="30"/>
      <c r="FU113" s="30"/>
      <c r="FV113" s="30"/>
      <c r="FW113" s="30"/>
      <c r="FX113" s="30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  <c r="AAA113" s="3"/>
      <c r="AAB113" s="3"/>
      <c r="AAC113" s="3"/>
      <c r="AAD113" s="3"/>
      <c r="AAE113" s="3"/>
      <c r="AAF113" s="3"/>
      <c r="AAG113" s="3"/>
      <c r="AAH113" s="3"/>
      <c r="AAI113" s="3"/>
      <c r="AAJ113" s="3"/>
      <c r="AAK113" s="3"/>
      <c r="AAL113" s="3"/>
      <c r="AAM113" s="3"/>
    </row>
    <row r="114" spans="1:715" s="2" customFormat="1" ht="50" customHeight="1">
      <c r="A114" s="8"/>
      <c r="B114" s="12"/>
      <c r="C114" s="8"/>
      <c r="D114" s="8"/>
      <c r="E114" s="8"/>
      <c r="F114" s="23"/>
      <c r="G114" s="21"/>
      <c r="H114" s="21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  <c r="BI114" s="23"/>
      <c r="BJ114" s="23"/>
      <c r="BK114" s="23"/>
      <c r="BL114" s="23"/>
      <c r="BM114" s="23"/>
      <c r="BN114" s="23"/>
      <c r="BO114" s="23"/>
      <c r="BP114" s="23"/>
      <c r="BQ114" s="23"/>
      <c r="BR114" s="23"/>
      <c r="BS114" s="23"/>
      <c r="BT114" s="23"/>
      <c r="BU114" s="23"/>
      <c r="BV114" s="23"/>
      <c r="BW114" s="23"/>
      <c r="BX114" s="23"/>
      <c r="BY114" s="23"/>
      <c r="BZ114" s="23"/>
      <c r="CA114" s="23"/>
      <c r="CB114" s="23"/>
      <c r="CC114" s="23"/>
      <c r="CD114" s="23"/>
      <c r="CE114" s="23"/>
      <c r="CF114" s="23"/>
      <c r="CG114" s="23"/>
      <c r="CH114" s="23"/>
      <c r="CI114" s="23"/>
      <c r="CJ114" s="23"/>
      <c r="CK114" s="23"/>
      <c r="CL114" s="23"/>
      <c r="CM114" s="23"/>
      <c r="CN114" s="23"/>
      <c r="CO114" s="23"/>
      <c r="CP114" s="23"/>
      <c r="CQ114" s="23"/>
      <c r="CR114" s="23"/>
      <c r="CS114" s="23"/>
      <c r="CT114" s="23"/>
      <c r="CU114" s="23"/>
      <c r="CV114" s="23"/>
      <c r="CW114" s="23"/>
      <c r="CX114" s="23"/>
      <c r="CY114" s="23"/>
      <c r="CZ114" s="23"/>
      <c r="DA114" s="23"/>
      <c r="DB114" s="23"/>
      <c r="DC114" s="23"/>
      <c r="DD114" s="23"/>
      <c r="DE114" s="23"/>
      <c r="DF114" s="23"/>
      <c r="DG114" s="23"/>
      <c r="DH114" s="23"/>
      <c r="DI114" s="23"/>
      <c r="DJ114" s="23"/>
      <c r="DK114" s="23"/>
      <c r="DL114" s="23"/>
      <c r="DM114" s="23"/>
      <c r="DN114" s="23"/>
      <c r="DO114" s="23"/>
      <c r="DP114" s="23"/>
      <c r="DQ114" s="23"/>
      <c r="DR114" s="23"/>
      <c r="DS114" s="23"/>
      <c r="DT114" s="23"/>
      <c r="DU114" s="23"/>
      <c r="DV114" s="23"/>
      <c r="DW114" s="30"/>
      <c r="DX114" s="30"/>
      <c r="DY114" s="30"/>
      <c r="DZ114" s="30"/>
      <c r="EA114" s="30"/>
      <c r="EB114" s="30"/>
      <c r="EC114" s="30"/>
      <c r="ED114" s="30"/>
      <c r="EE114" s="30"/>
      <c r="EF114" s="30"/>
      <c r="EG114" s="30"/>
      <c r="EH114" s="30"/>
      <c r="EI114" s="30"/>
      <c r="EJ114" s="30"/>
      <c r="EK114" s="30"/>
      <c r="EL114" s="30"/>
      <c r="EM114" s="30"/>
      <c r="EN114" s="30"/>
      <c r="EO114" s="30"/>
      <c r="EP114" s="30"/>
      <c r="EQ114" s="30"/>
      <c r="ER114" s="30"/>
      <c r="ES114" s="30"/>
      <c r="ET114" s="30"/>
      <c r="EU114" s="30"/>
      <c r="EV114" s="30"/>
      <c r="EW114" s="30"/>
      <c r="EX114" s="30"/>
      <c r="EY114" s="30"/>
      <c r="EZ114" s="30"/>
      <c r="FA114" s="30"/>
      <c r="FB114" s="30"/>
      <c r="FC114" s="30"/>
      <c r="FD114" s="30"/>
      <c r="FE114" s="30"/>
      <c r="FF114" s="30"/>
      <c r="FG114" s="30"/>
      <c r="FH114" s="30"/>
      <c r="FI114" s="30"/>
      <c r="FJ114" s="30"/>
      <c r="FK114" s="30"/>
      <c r="FL114" s="30"/>
      <c r="FM114" s="30"/>
      <c r="FN114" s="30"/>
      <c r="FO114" s="30"/>
      <c r="FP114" s="30"/>
      <c r="FQ114" s="30"/>
      <c r="FR114" s="30"/>
      <c r="FS114" s="30"/>
      <c r="FT114" s="30"/>
      <c r="FU114" s="30"/>
      <c r="FV114" s="30"/>
      <c r="FW114" s="30"/>
      <c r="FX114" s="30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  <c r="AAA114" s="3"/>
      <c r="AAB114" s="3"/>
      <c r="AAC114" s="3"/>
      <c r="AAD114" s="3"/>
      <c r="AAE114" s="3"/>
      <c r="AAF114" s="3"/>
      <c r="AAG114" s="3"/>
      <c r="AAH114" s="3"/>
      <c r="AAI114" s="3"/>
      <c r="AAJ114" s="3"/>
      <c r="AAK114" s="3"/>
      <c r="AAL114" s="3"/>
      <c r="AAM114" s="3"/>
    </row>
    <row r="115" spans="1:715" s="2" customFormat="1" ht="50" customHeight="1">
      <c r="A115" s="8"/>
      <c r="B115" s="12"/>
      <c r="C115" s="8"/>
      <c r="D115" s="8"/>
      <c r="E115" s="8"/>
      <c r="F115" s="23"/>
      <c r="G115" s="21"/>
      <c r="H115" s="21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N115" s="23"/>
      <c r="BO115" s="23"/>
      <c r="BP115" s="23"/>
      <c r="BQ115" s="23"/>
      <c r="BR115" s="23"/>
      <c r="BS115" s="23"/>
      <c r="BT115" s="23"/>
      <c r="BU115" s="23"/>
      <c r="BV115" s="23"/>
      <c r="BW115" s="23"/>
      <c r="BX115" s="23"/>
      <c r="BY115" s="23"/>
      <c r="BZ115" s="23"/>
      <c r="CA115" s="23"/>
      <c r="CB115" s="23"/>
      <c r="CC115" s="23"/>
      <c r="CD115" s="23"/>
      <c r="CE115" s="23"/>
      <c r="CF115" s="23"/>
      <c r="CG115" s="23"/>
      <c r="CH115" s="23"/>
      <c r="CI115" s="23"/>
      <c r="CJ115" s="23"/>
      <c r="CK115" s="23"/>
      <c r="CL115" s="23"/>
      <c r="CM115" s="23"/>
      <c r="CN115" s="23"/>
      <c r="CO115" s="23"/>
      <c r="CP115" s="23"/>
      <c r="CQ115" s="23"/>
      <c r="CR115" s="23"/>
      <c r="CS115" s="23"/>
      <c r="CT115" s="23"/>
      <c r="CU115" s="23"/>
      <c r="CV115" s="23"/>
      <c r="CW115" s="23"/>
      <c r="CX115" s="23"/>
      <c r="CY115" s="23"/>
      <c r="CZ115" s="23"/>
      <c r="DA115" s="23"/>
      <c r="DB115" s="23"/>
      <c r="DC115" s="23"/>
      <c r="DD115" s="23"/>
      <c r="DE115" s="23"/>
      <c r="DF115" s="23"/>
      <c r="DG115" s="23"/>
      <c r="DH115" s="23"/>
      <c r="DI115" s="23"/>
      <c r="DJ115" s="23"/>
      <c r="DK115" s="23"/>
      <c r="DL115" s="23"/>
      <c r="DM115" s="23"/>
      <c r="DN115" s="23"/>
      <c r="DO115" s="23"/>
      <c r="DP115" s="23"/>
      <c r="DQ115" s="23"/>
      <c r="DR115" s="23"/>
      <c r="DS115" s="23"/>
      <c r="DT115" s="23"/>
      <c r="DU115" s="23"/>
      <c r="DV115" s="23"/>
      <c r="DW115" s="30"/>
      <c r="DX115" s="30"/>
      <c r="DY115" s="30"/>
      <c r="DZ115" s="30"/>
      <c r="EA115" s="30"/>
      <c r="EB115" s="30"/>
      <c r="EC115" s="30"/>
      <c r="ED115" s="30"/>
      <c r="EE115" s="30"/>
      <c r="EF115" s="30"/>
      <c r="EG115" s="30"/>
      <c r="EH115" s="30"/>
      <c r="EI115" s="30"/>
      <c r="EJ115" s="30"/>
      <c r="EK115" s="30"/>
      <c r="EL115" s="30"/>
      <c r="EM115" s="30"/>
      <c r="EN115" s="30"/>
      <c r="EO115" s="30"/>
      <c r="EP115" s="30"/>
      <c r="EQ115" s="30"/>
      <c r="ER115" s="30"/>
      <c r="ES115" s="30"/>
      <c r="ET115" s="30"/>
      <c r="EU115" s="30"/>
      <c r="EV115" s="30"/>
      <c r="EW115" s="30"/>
      <c r="EX115" s="30"/>
      <c r="EY115" s="30"/>
      <c r="EZ115" s="30"/>
      <c r="FA115" s="30"/>
      <c r="FB115" s="30"/>
      <c r="FC115" s="30"/>
      <c r="FD115" s="30"/>
      <c r="FE115" s="30"/>
      <c r="FF115" s="30"/>
      <c r="FG115" s="30"/>
      <c r="FH115" s="30"/>
      <c r="FI115" s="30"/>
      <c r="FJ115" s="30"/>
      <c r="FK115" s="30"/>
      <c r="FL115" s="30"/>
      <c r="FM115" s="30"/>
      <c r="FN115" s="30"/>
      <c r="FO115" s="30"/>
      <c r="FP115" s="30"/>
      <c r="FQ115" s="30"/>
      <c r="FR115" s="30"/>
      <c r="FS115" s="30"/>
      <c r="FT115" s="30"/>
      <c r="FU115" s="30"/>
      <c r="FV115" s="30"/>
      <c r="FW115" s="30"/>
      <c r="FX115" s="30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  <c r="AAA115" s="3"/>
      <c r="AAB115" s="3"/>
      <c r="AAC115" s="3"/>
      <c r="AAD115" s="3"/>
      <c r="AAE115" s="3"/>
      <c r="AAF115" s="3"/>
      <c r="AAG115" s="3"/>
      <c r="AAH115" s="3"/>
      <c r="AAI115" s="3"/>
      <c r="AAJ115" s="3"/>
      <c r="AAK115" s="3"/>
      <c r="AAL115" s="3"/>
      <c r="AAM115" s="3"/>
    </row>
    <row r="116" spans="1:715" s="2" customFormat="1" ht="50" customHeight="1">
      <c r="A116" s="8"/>
      <c r="B116" s="12"/>
      <c r="C116" s="8"/>
      <c r="D116" s="8"/>
      <c r="E116" s="8"/>
      <c r="F116" s="23"/>
      <c r="G116" s="21"/>
      <c r="H116" s="21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23"/>
      <c r="CI116" s="23"/>
      <c r="CJ116" s="23"/>
      <c r="CK116" s="23"/>
      <c r="CL116" s="23"/>
      <c r="CM116" s="21"/>
      <c r="CN116" s="21"/>
      <c r="CO116" s="21"/>
      <c r="CP116" s="23"/>
      <c r="CQ116" s="21"/>
      <c r="CR116" s="21"/>
      <c r="CS116" s="21"/>
      <c r="CT116" s="23"/>
      <c r="CU116" s="21"/>
      <c r="CV116" s="21"/>
      <c r="CW116" s="21"/>
      <c r="CX116" s="23"/>
      <c r="CY116" s="21"/>
      <c r="CZ116" s="21"/>
      <c r="DA116" s="21"/>
      <c r="DB116" s="23"/>
      <c r="DC116" s="21"/>
      <c r="DD116" s="21"/>
      <c r="DE116" s="21"/>
      <c r="DF116" s="23"/>
      <c r="DG116" s="21"/>
      <c r="DH116" s="21"/>
      <c r="DI116" s="21"/>
      <c r="DJ116" s="23"/>
      <c r="DK116" s="21"/>
      <c r="DL116" s="21"/>
      <c r="DM116" s="21"/>
      <c r="DN116" s="23"/>
      <c r="DO116" s="21"/>
      <c r="DP116" s="21"/>
      <c r="DQ116" s="21"/>
      <c r="DR116" s="23"/>
      <c r="DS116" s="21"/>
      <c r="DT116" s="21"/>
      <c r="DU116" s="21"/>
      <c r="DV116" s="23"/>
      <c r="DW116" s="32"/>
      <c r="DX116" s="32"/>
      <c r="DY116" s="31"/>
      <c r="DZ116" s="30"/>
      <c r="EA116" s="32"/>
      <c r="EB116" s="32"/>
      <c r="EC116" s="31"/>
      <c r="ED116" s="30"/>
      <c r="EE116" s="32"/>
      <c r="EF116" s="32"/>
      <c r="EG116" s="31"/>
      <c r="EH116" s="30"/>
      <c r="EI116" s="32"/>
      <c r="EJ116" s="32"/>
      <c r="EK116" s="31"/>
      <c r="EL116" s="30"/>
      <c r="EM116" s="32"/>
      <c r="EN116" s="32"/>
      <c r="EO116" s="31"/>
      <c r="EP116" s="30"/>
      <c r="EQ116" s="32"/>
      <c r="ER116" s="32"/>
      <c r="ES116" s="31"/>
      <c r="ET116" s="30"/>
      <c r="EU116" s="32"/>
      <c r="EV116" s="32"/>
      <c r="EW116" s="31"/>
      <c r="EX116" s="30"/>
      <c r="EY116" s="32"/>
      <c r="EZ116" s="32"/>
      <c r="FA116" s="31"/>
      <c r="FB116" s="30"/>
      <c r="FC116" s="32"/>
      <c r="FD116" s="32"/>
      <c r="FE116" s="31"/>
      <c r="FF116" s="30"/>
      <c r="FG116" s="32"/>
      <c r="FH116" s="32"/>
      <c r="FI116" s="31"/>
      <c r="FJ116" s="30"/>
      <c r="FK116" s="32"/>
      <c r="FL116" s="32"/>
      <c r="FM116" s="31"/>
      <c r="FN116" s="30"/>
      <c r="FO116" s="30"/>
      <c r="FP116" s="30"/>
      <c r="FQ116" s="30"/>
      <c r="FR116" s="30"/>
      <c r="FS116" s="30"/>
      <c r="FT116" s="30"/>
      <c r="FU116" s="30"/>
      <c r="FV116" s="30"/>
      <c r="FW116" s="30"/>
      <c r="FX116" s="30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  <c r="AAA116" s="3"/>
      <c r="AAB116" s="3"/>
      <c r="AAC116" s="3"/>
      <c r="AAD116" s="3"/>
      <c r="AAE116" s="3"/>
      <c r="AAF116" s="3"/>
      <c r="AAG116" s="3"/>
      <c r="AAH116" s="3"/>
      <c r="AAI116" s="3"/>
      <c r="AAJ116" s="3"/>
      <c r="AAK116" s="3"/>
      <c r="AAL116" s="3"/>
      <c r="AAM116" s="3"/>
    </row>
    <row r="117" spans="1:715" s="2" customFormat="1" ht="50" customHeight="1">
      <c r="A117" s="8"/>
      <c r="B117" s="12"/>
      <c r="C117" s="8"/>
      <c r="D117" s="8"/>
      <c r="E117" s="8"/>
      <c r="F117" s="23"/>
      <c r="G117" s="21"/>
      <c r="H117" s="21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  <c r="CE117" s="23"/>
      <c r="CF117" s="23"/>
      <c r="CG117" s="23"/>
      <c r="CH117" s="23"/>
      <c r="CI117" s="23"/>
      <c r="CJ117" s="23"/>
      <c r="CK117" s="23"/>
      <c r="CL117" s="23"/>
      <c r="CM117" s="21"/>
      <c r="CN117" s="21"/>
      <c r="CO117" s="21"/>
      <c r="CP117" s="23"/>
      <c r="CQ117" s="21"/>
      <c r="CR117" s="21"/>
      <c r="CS117" s="21"/>
      <c r="CT117" s="23"/>
      <c r="CU117" s="21"/>
      <c r="CV117" s="21"/>
      <c r="CW117" s="21"/>
      <c r="CX117" s="23"/>
      <c r="CY117" s="21"/>
      <c r="CZ117" s="21"/>
      <c r="DA117" s="21"/>
      <c r="DB117" s="23"/>
      <c r="DC117" s="21"/>
      <c r="DD117" s="21"/>
      <c r="DE117" s="21"/>
      <c r="DF117" s="23"/>
      <c r="DG117" s="21"/>
      <c r="DH117" s="21"/>
      <c r="DI117" s="21"/>
      <c r="DJ117" s="23"/>
      <c r="DK117" s="21"/>
      <c r="DL117" s="21"/>
      <c r="DM117" s="21"/>
      <c r="DN117" s="23"/>
      <c r="DO117" s="21"/>
      <c r="DP117" s="21"/>
      <c r="DQ117" s="21"/>
      <c r="DR117" s="23"/>
      <c r="DS117" s="21"/>
      <c r="DT117" s="21"/>
      <c r="DU117" s="21"/>
      <c r="DV117" s="23"/>
      <c r="DW117" s="32"/>
      <c r="DX117" s="32"/>
      <c r="DY117" s="31"/>
      <c r="DZ117" s="30"/>
      <c r="EA117" s="32"/>
      <c r="EB117" s="32"/>
      <c r="EC117" s="31"/>
      <c r="ED117" s="30"/>
      <c r="EE117" s="32"/>
      <c r="EF117" s="32"/>
      <c r="EG117" s="31"/>
      <c r="EH117" s="30"/>
      <c r="EI117" s="32"/>
      <c r="EJ117" s="32"/>
      <c r="EK117" s="31"/>
      <c r="EL117" s="30"/>
      <c r="EM117" s="32"/>
      <c r="EN117" s="32"/>
      <c r="EO117" s="31"/>
      <c r="EP117" s="30"/>
      <c r="EQ117" s="32"/>
      <c r="ER117" s="32"/>
      <c r="ES117" s="31"/>
      <c r="ET117" s="30"/>
      <c r="EU117" s="32"/>
      <c r="EV117" s="32"/>
      <c r="EW117" s="31"/>
      <c r="EX117" s="30"/>
      <c r="EY117" s="32"/>
      <c r="EZ117" s="32"/>
      <c r="FA117" s="31"/>
      <c r="FB117" s="30"/>
      <c r="FC117" s="32"/>
      <c r="FD117" s="32"/>
      <c r="FE117" s="31"/>
      <c r="FF117" s="30"/>
      <c r="FG117" s="32"/>
      <c r="FH117" s="32"/>
      <c r="FI117" s="31"/>
      <c r="FJ117" s="30"/>
      <c r="FK117" s="32"/>
      <c r="FL117" s="32"/>
      <c r="FM117" s="31"/>
      <c r="FN117" s="30"/>
      <c r="FO117" s="30"/>
      <c r="FP117" s="30"/>
      <c r="FQ117" s="30"/>
      <c r="FR117" s="30"/>
      <c r="FS117" s="30"/>
      <c r="FT117" s="30"/>
      <c r="FU117" s="30"/>
      <c r="FV117" s="30"/>
      <c r="FW117" s="30"/>
      <c r="FX117" s="30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  <c r="AAA117" s="3"/>
      <c r="AAB117" s="3"/>
      <c r="AAC117" s="3"/>
      <c r="AAD117" s="3"/>
      <c r="AAE117" s="3"/>
      <c r="AAF117" s="3"/>
      <c r="AAG117" s="3"/>
      <c r="AAH117" s="3"/>
      <c r="AAI117" s="3"/>
      <c r="AAJ117" s="3"/>
      <c r="AAK117" s="3"/>
      <c r="AAL117" s="3"/>
      <c r="AAM117" s="3"/>
    </row>
    <row r="118" spans="1:715" s="2" customFormat="1" ht="50" customHeight="1">
      <c r="A118" s="8"/>
      <c r="B118" s="12"/>
      <c r="C118" s="8"/>
      <c r="D118" s="8"/>
      <c r="E118" s="8"/>
      <c r="F118" s="23"/>
      <c r="G118" s="21"/>
      <c r="H118" s="21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  <c r="DH118" s="23"/>
      <c r="DI118" s="23"/>
      <c r="DJ118" s="23"/>
      <c r="DK118" s="23"/>
      <c r="DL118" s="23"/>
      <c r="DM118" s="23"/>
      <c r="DN118" s="23"/>
      <c r="DO118" s="23"/>
      <c r="DP118" s="23"/>
      <c r="DQ118" s="23"/>
      <c r="DR118" s="23"/>
      <c r="DS118" s="23"/>
      <c r="DT118" s="23"/>
      <c r="DU118" s="23"/>
      <c r="DV118" s="23"/>
      <c r="DW118" s="30"/>
      <c r="DX118" s="30"/>
      <c r="DY118" s="30"/>
      <c r="DZ118" s="30"/>
      <c r="EA118" s="30"/>
      <c r="EB118" s="30"/>
      <c r="EC118" s="30"/>
      <c r="ED118" s="30"/>
      <c r="EE118" s="30"/>
      <c r="EF118" s="30"/>
      <c r="EG118" s="30"/>
      <c r="EH118" s="30"/>
      <c r="EI118" s="30"/>
      <c r="EJ118" s="30"/>
      <c r="EK118" s="30"/>
      <c r="EL118" s="30"/>
      <c r="EM118" s="30"/>
      <c r="EN118" s="30"/>
      <c r="EO118" s="30"/>
      <c r="EP118" s="30"/>
      <c r="EQ118" s="30"/>
      <c r="ER118" s="30"/>
      <c r="ES118" s="30"/>
      <c r="ET118" s="30"/>
      <c r="EU118" s="30"/>
      <c r="EV118" s="30"/>
      <c r="EW118" s="30"/>
      <c r="EX118" s="30"/>
      <c r="EY118" s="30"/>
      <c r="EZ118" s="30"/>
      <c r="FA118" s="30"/>
      <c r="FB118" s="30"/>
      <c r="FC118" s="30"/>
      <c r="FD118" s="30"/>
      <c r="FE118" s="30"/>
      <c r="FF118" s="30"/>
      <c r="FG118" s="30"/>
      <c r="FH118" s="30"/>
      <c r="FI118" s="30"/>
      <c r="FJ118" s="30"/>
      <c r="FK118" s="30"/>
      <c r="FL118" s="30"/>
      <c r="FM118" s="30"/>
      <c r="FN118" s="30"/>
      <c r="FO118" s="30"/>
      <c r="FP118" s="30"/>
      <c r="FQ118" s="30"/>
      <c r="FR118" s="30"/>
      <c r="FS118" s="30"/>
      <c r="FT118" s="30"/>
      <c r="FU118" s="30"/>
      <c r="FV118" s="30"/>
      <c r="FW118" s="30"/>
      <c r="FX118" s="30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  <c r="AAA118" s="3"/>
      <c r="AAB118" s="3"/>
      <c r="AAC118" s="3"/>
      <c r="AAD118" s="3"/>
      <c r="AAE118" s="3"/>
      <c r="AAF118" s="3"/>
      <c r="AAG118" s="3"/>
      <c r="AAH118" s="3"/>
      <c r="AAI118" s="3"/>
      <c r="AAJ118" s="3"/>
      <c r="AAK118" s="3"/>
      <c r="AAL118" s="3"/>
      <c r="AAM118" s="3"/>
    </row>
    <row r="119" spans="1:715" s="2" customFormat="1" ht="50" customHeight="1">
      <c r="A119" s="8"/>
      <c r="B119" s="12"/>
      <c r="C119" s="8"/>
      <c r="D119" s="8"/>
      <c r="E119" s="8"/>
      <c r="F119" s="23"/>
      <c r="G119" s="21"/>
      <c r="H119" s="21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  <c r="CE119" s="23"/>
      <c r="CF119" s="23"/>
      <c r="CG119" s="23"/>
      <c r="CH119" s="23"/>
      <c r="CI119" s="23"/>
      <c r="CJ119" s="23"/>
      <c r="CK119" s="23"/>
      <c r="CL119" s="23"/>
      <c r="CM119" s="23"/>
      <c r="CN119" s="23"/>
      <c r="CO119" s="23"/>
      <c r="CP119" s="23"/>
      <c r="CQ119" s="23"/>
      <c r="CR119" s="23"/>
      <c r="CS119" s="23"/>
      <c r="CT119" s="23"/>
      <c r="CU119" s="23"/>
      <c r="CV119" s="23"/>
      <c r="CW119" s="23"/>
      <c r="CX119" s="23"/>
      <c r="CY119" s="23"/>
      <c r="CZ119" s="23"/>
      <c r="DA119" s="23"/>
      <c r="DB119" s="23"/>
      <c r="DC119" s="23"/>
      <c r="DD119" s="23"/>
      <c r="DE119" s="23"/>
      <c r="DF119" s="23"/>
      <c r="DG119" s="23"/>
      <c r="DH119" s="23"/>
      <c r="DI119" s="23"/>
      <c r="DJ119" s="23"/>
      <c r="DK119" s="23"/>
      <c r="DL119" s="23"/>
      <c r="DM119" s="23"/>
      <c r="DN119" s="23"/>
      <c r="DO119" s="23"/>
      <c r="DP119" s="23"/>
      <c r="DQ119" s="23"/>
      <c r="DR119" s="23"/>
      <c r="DS119" s="23"/>
      <c r="DT119" s="23"/>
      <c r="DU119" s="23"/>
      <c r="DV119" s="23"/>
      <c r="DW119" s="30"/>
      <c r="DX119" s="30"/>
      <c r="DY119" s="30"/>
      <c r="DZ119" s="30"/>
      <c r="EA119" s="30"/>
      <c r="EB119" s="30"/>
      <c r="EC119" s="30"/>
      <c r="ED119" s="30"/>
      <c r="EE119" s="30"/>
      <c r="EF119" s="30"/>
      <c r="EG119" s="30"/>
      <c r="EH119" s="30"/>
      <c r="EI119" s="30"/>
      <c r="EJ119" s="30"/>
      <c r="EK119" s="30"/>
      <c r="EL119" s="30"/>
      <c r="EM119" s="30"/>
      <c r="EN119" s="30"/>
      <c r="EO119" s="30"/>
      <c r="EP119" s="30"/>
      <c r="EQ119" s="30"/>
      <c r="ER119" s="30"/>
      <c r="ES119" s="30"/>
      <c r="ET119" s="30"/>
      <c r="EU119" s="30"/>
      <c r="EV119" s="30"/>
      <c r="EW119" s="30"/>
      <c r="EX119" s="30"/>
      <c r="EY119" s="30"/>
      <c r="EZ119" s="30"/>
      <c r="FA119" s="30"/>
      <c r="FB119" s="30"/>
      <c r="FC119" s="30"/>
      <c r="FD119" s="30"/>
      <c r="FE119" s="30"/>
      <c r="FF119" s="30"/>
      <c r="FG119" s="30"/>
      <c r="FH119" s="30"/>
      <c r="FI119" s="30"/>
      <c r="FJ119" s="30"/>
      <c r="FK119" s="30"/>
      <c r="FL119" s="30"/>
      <c r="FM119" s="30"/>
      <c r="FN119" s="30"/>
      <c r="FO119" s="30"/>
      <c r="FP119" s="30"/>
      <c r="FQ119" s="30"/>
      <c r="FR119" s="30"/>
      <c r="FS119" s="30"/>
      <c r="FT119" s="30"/>
      <c r="FU119" s="30"/>
      <c r="FV119" s="30"/>
      <c r="FW119" s="30"/>
      <c r="FX119" s="30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  <c r="AAA119" s="3"/>
      <c r="AAB119" s="3"/>
      <c r="AAC119" s="3"/>
      <c r="AAD119" s="3"/>
      <c r="AAE119" s="3"/>
      <c r="AAF119" s="3"/>
      <c r="AAG119" s="3"/>
      <c r="AAH119" s="3"/>
      <c r="AAI119" s="3"/>
      <c r="AAJ119" s="3"/>
      <c r="AAK119" s="3"/>
      <c r="AAL119" s="3"/>
      <c r="AAM119" s="3"/>
    </row>
    <row r="120" spans="1:715" s="2" customFormat="1" ht="50" customHeight="1">
      <c r="A120" s="8"/>
      <c r="B120" s="12"/>
      <c r="C120" s="8"/>
      <c r="D120" s="8"/>
      <c r="E120" s="8"/>
      <c r="F120" s="23"/>
      <c r="G120" s="21"/>
      <c r="H120" s="21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1"/>
      <c r="CN120" s="21"/>
      <c r="CO120" s="21"/>
      <c r="CP120" s="23"/>
      <c r="CQ120" s="21"/>
      <c r="CR120" s="21"/>
      <c r="CS120" s="21"/>
      <c r="CT120" s="23"/>
      <c r="CU120" s="21"/>
      <c r="CV120" s="21"/>
      <c r="CW120" s="21"/>
      <c r="CX120" s="23"/>
      <c r="CY120" s="21"/>
      <c r="CZ120" s="21"/>
      <c r="DA120" s="21"/>
      <c r="DB120" s="23"/>
      <c r="DC120" s="21"/>
      <c r="DD120" s="21"/>
      <c r="DE120" s="21"/>
      <c r="DF120" s="23"/>
      <c r="DG120" s="21"/>
      <c r="DH120" s="21"/>
      <c r="DI120" s="21"/>
      <c r="DJ120" s="23"/>
      <c r="DK120" s="21"/>
      <c r="DL120" s="21"/>
      <c r="DM120" s="21"/>
      <c r="DN120" s="23"/>
      <c r="DO120" s="21"/>
      <c r="DP120" s="21"/>
      <c r="DQ120" s="21"/>
      <c r="DR120" s="23"/>
      <c r="DS120" s="21"/>
      <c r="DT120" s="21"/>
      <c r="DU120" s="21"/>
      <c r="DV120" s="23"/>
      <c r="DW120" s="32"/>
      <c r="DX120" s="32"/>
      <c r="DY120" s="31"/>
      <c r="DZ120" s="30"/>
      <c r="EA120" s="32"/>
      <c r="EB120" s="32"/>
      <c r="EC120" s="31"/>
      <c r="ED120" s="30"/>
      <c r="EE120" s="32"/>
      <c r="EF120" s="32"/>
      <c r="EG120" s="31"/>
      <c r="EH120" s="30"/>
      <c r="EI120" s="32"/>
      <c r="EJ120" s="32"/>
      <c r="EK120" s="31"/>
      <c r="EL120" s="30"/>
      <c r="EM120" s="32"/>
      <c r="EN120" s="32"/>
      <c r="EO120" s="31"/>
      <c r="EP120" s="30"/>
      <c r="EQ120" s="32"/>
      <c r="ER120" s="32"/>
      <c r="ES120" s="31"/>
      <c r="ET120" s="30"/>
      <c r="EU120" s="32"/>
      <c r="EV120" s="32"/>
      <c r="EW120" s="31"/>
      <c r="EX120" s="30"/>
      <c r="EY120" s="32"/>
      <c r="EZ120" s="32"/>
      <c r="FA120" s="31"/>
      <c r="FB120" s="30"/>
      <c r="FC120" s="32"/>
      <c r="FD120" s="32"/>
      <c r="FE120" s="31"/>
      <c r="FF120" s="30"/>
      <c r="FG120" s="32"/>
      <c r="FH120" s="32"/>
      <c r="FI120" s="31"/>
      <c r="FJ120" s="30"/>
      <c r="FK120" s="32"/>
      <c r="FL120" s="32"/>
      <c r="FM120" s="31"/>
      <c r="FN120" s="30"/>
      <c r="FO120" s="30"/>
      <c r="FP120" s="30"/>
      <c r="FQ120" s="30"/>
      <c r="FR120" s="30"/>
      <c r="FS120" s="30"/>
      <c r="FT120" s="30"/>
      <c r="FU120" s="30"/>
      <c r="FV120" s="30"/>
      <c r="FW120" s="30"/>
      <c r="FX120" s="30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  <c r="AAA120" s="3"/>
      <c r="AAB120" s="3"/>
      <c r="AAC120" s="3"/>
      <c r="AAD120" s="3"/>
      <c r="AAE120" s="3"/>
      <c r="AAF120" s="3"/>
      <c r="AAG120" s="3"/>
      <c r="AAH120" s="3"/>
      <c r="AAI120" s="3"/>
      <c r="AAJ120" s="3"/>
      <c r="AAK120" s="3"/>
      <c r="AAL120" s="3"/>
      <c r="AAM120" s="3"/>
    </row>
    <row r="121" spans="1:715" s="2" customFormat="1" ht="50" customHeight="1">
      <c r="A121" s="8"/>
      <c r="B121" s="12"/>
      <c r="C121" s="8"/>
      <c r="D121" s="8"/>
      <c r="E121" s="8"/>
      <c r="F121" s="23"/>
      <c r="G121" s="21"/>
      <c r="H121" s="21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N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  <c r="CE121" s="23"/>
      <c r="CF121" s="23"/>
      <c r="CG121" s="23"/>
      <c r="CH121" s="23"/>
      <c r="CI121" s="23"/>
      <c r="CJ121" s="23"/>
      <c r="CK121" s="23"/>
      <c r="CL121" s="23"/>
      <c r="CM121" s="21"/>
      <c r="CN121" s="21"/>
      <c r="CO121" s="21"/>
      <c r="CP121" s="23"/>
      <c r="CQ121" s="21"/>
      <c r="CR121" s="21"/>
      <c r="CS121" s="21"/>
      <c r="CT121" s="23"/>
      <c r="CU121" s="21"/>
      <c r="CV121" s="21"/>
      <c r="CW121" s="21"/>
      <c r="CX121" s="23"/>
      <c r="CY121" s="21"/>
      <c r="CZ121" s="21"/>
      <c r="DA121" s="21"/>
      <c r="DB121" s="23"/>
      <c r="DC121" s="21"/>
      <c r="DD121" s="21"/>
      <c r="DE121" s="21"/>
      <c r="DF121" s="23"/>
      <c r="DG121" s="21"/>
      <c r="DH121" s="21"/>
      <c r="DI121" s="21"/>
      <c r="DJ121" s="23"/>
      <c r="DK121" s="21"/>
      <c r="DL121" s="21"/>
      <c r="DM121" s="21"/>
      <c r="DN121" s="23"/>
      <c r="DO121" s="21"/>
      <c r="DP121" s="21"/>
      <c r="DQ121" s="21"/>
      <c r="DR121" s="23"/>
      <c r="DS121" s="21"/>
      <c r="DT121" s="21"/>
      <c r="DU121" s="21"/>
      <c r="DV121" s="23"/>
      <c r="DW121" s="32"/>
      <c r="DX121" s="32"/>
      <c r="DY121" s="31"/>
      <c r="DZ121" s="30"/>
      <c r="EA121" s="32"/>
      <c r="EB121" s="32"/>
      <c r="EC121" s="31"/>
      <c r="ED121" s="30"/>
      <c r="EE121" s="32"/>
      <c r="EF121" s="32"/>
      <c r="EG121" s="31"/>
      <c r="EH121" s="30"/>
      <c r="EI121" s="32"/>
      <c r="EJ121" s="32"/>
      <c r="EK121" s="31"/>
      <c r="EL121" s="30"/>
      <c r="EM121" s="32"/>
      <c r="EN121" s="32"/>
      <c r="EO121" s="31"/>
      <c r="EP121" s="30"/>
      <c r="EQ121" s="32"/>
      <c r="ER121" s="32"/>
      <c r="ES121" s="31"/>
      <c r="ET121" s="30"/>
      <c r="EU121" s="32"/>
      <c r="EV121" s="32"/>
      <c r="EW121" s="31"/>
      <c r="EX121" s="30"/>
      <c r="EY121" s="32"/>
      <c r="EZ121" s="32"/>
      <c r="FA121" s="31"/>
      <c r="FB121" s="30"/>
      <c r="FC121" s="32"/>
      <c r="FD121" s="32"/>
      <c r="FE121" s="31"/>
      <c r="FF121" s="30"/>
      <c r="FG121" s="32"/>
      <c r="FH121" s="32"/>
      <c r="FI121" s="31"/>
      <c r="FJ121" s="30"/>
      <c r="FK121" s="32"/>
      <c r="FL121" s="32"/>
      <c r="FM121" s="31"/>
      <c r="FN121" s="30"/>
      <c r="FO121" s="30"/>
      <c r="FP121" s="30"/>
      <c r="FQ121" s="30"/>
      <c r="FR121" s="30"/>
      <c r="FS121" s="30"/>
      <c r="FT121" s="30"/>
      <c r="FU121" s="30"/>
      <c r="FV121" s="30"/>
      <c r="FW121" s="30"/>
      <c r="FX121" s="30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  <c r="AAA121" s="3"/>
      <c r="AAB121" s="3"/>
      <c r="AAC121" s="3"/>
      <c r="AAD121" s="3"/>
      <c r="AAE121" s="3"/>
      <c r="AAF121" s="3"/>
      <c r="AAG121" s="3"/>
      <c r="AAH121" s="3"/>
      <c r="AAI121" s="3"/>
      <c r="AAJ121" s="3"/>
      <c r="AAK121" s="3"/>
      <c r="AAL121" s="3"/>
      <c r="AAM121" s="3"/>
    </row>
    <row r="122" spans="1:715" s="2" customFormat="1" ht="50" customHeight="1">
      <c r="A122" s="8"/>
      <c r="B122" s="12"/>
      <c r="C122" s="8"/>
      <c r="D122" s="8"/>
      <c r="E122" s="8"/>
      <c r="F122" s="23"/>
      <c r="G122" s="21"/>
      <c r="H122" s="21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  <c r="CE122" s="23"/>
      <c r="CF122" s="23"/>
      <c r="CG122" s="23"/>
      <c r="CH122" s="23"/>
      <c r="CI122" s="23"/>
      <c r="CJ122" s="23"/>
      <c r="CK122" s="23"/>
      <c r="CL122" s="23"/>
      <c r="CM122" s="23"/>
      <c r="CN122" s="23"/>
      <c r="CO122" s="23"/>
      <c r="CP122" s="23"/>
      <c r="CQ122" s="23"/>
      <c r="CR122" s="23"/>
      <c r="CS122" s="23"/>
      <c r="CT122" s="23"/>
      <c r="CU122" s="23"/>
      <c r="CV122" s="23"/>
      <c r="CW122" s="23"/>
      <c r="CX122" s="23"/>
      <c r="CY122" s="23"/>
      <c r="CZ122" s="23"/>
      <c r="DA122" s="23"/>
      <c r="DB122" s="23"/>
      <c r="DC122" s="23"/>
      <c r="DD122" s="23"/>
      <c r="DE122" s="23"/>
      <c r="DF122" s="23"/>
      <c r="DG122" s="23"/>
      <c r="DH122" s="23"/>
      <c r="DI122" s="23"/>
      <c r="DJ122" s="23"/>
      <c r="DK122" s="23"/>
      <c r="DL122" s="23"/>
      <c r="DM122" s="23"/>
      <c r="DN122" s="23"/>
      <c r="DO122" s="23"/>
      <c r="DP122" s="23"/>
      <c r="DQ122" s="23"/>
      <c r="DR122" s="23"/>
      <c r="DS122" s="23"/>
      <c r="DT122" s="23"/>
      <c r="DU122" s="23"/>
      <c r="DV122" s="23"/>
      <c r="DW122" s="30"/>
      <c r="DX122" s="30"/>
      <c r="DY122" s="30"/>
      <c r="DZ122" s="30"/>
      <c r="EA122" s="30"/>
      <c r="EB122" s="30"/>
      <c r="EC122" s="30"/>
      <c r="ED122" s="30"/>
      <c r="EE122" s="30"/>
      <c r="EF122" s="30"/>
      <c r="EG122" s="30"/>
      <c r="EH122" s="30"/>
      <c r="EI122" s="30"/>
      <c r="EJ122" s="30"/>
      <c r="EK122" s="30"/>
      <c r="EL122" s="30"/>
      <c r="EM122" s="30"/>
      <c r="EN122" s="30"/>
      <c r="EO122" s="30"/>
      <c r="EP122" s="30"/>
      <c r="EQ122" s="30"/>
      <c r="ER122" s="30"/>
      <c r="ES122" s="30"/>
      <c r="ET122" s="30"/>
      <c r="EU122" s="30"/>
      <c r="EV122" s="30"/>
      <c r="EW122" s="30"/>
      <c r="EX122" s="30"/>
      <c r="EY122" s="30"/>
      <c r="EZ122" s="30"/>
      <c r="FA122" s="30"/>
      <c r="FB122" s="30"/>
      <c r="FC122" s="30"/>
      <c r="FD122" s="30"/>
      <c r="FE122" s="30"/>
      <c r="FF122" s="30"/>
      <c r="FG122" s="30"/>
      <c r="FH122" s="30"/>
      <c r="FI122" s="30"/>
      <c r="FJ122" s="30"/>
      <c r="FK122" s="30"/>
      <c r="FL122" s="30"/>
      <c r="FM122" s="30"/>
      <c r="FN122" s="30"/>
      <c r="FO122" s="30"/>
      <c r="FP122" s="30"/>
      <c r="FQ122" s="30"/>
      <c r="FR122" s="30"/>
      <c r="FS122" s="30"/>
      <c r="FT122" s="30"/>
      <c r="FU122" s="30"/>
      <c r="FV122" s="30"/>
      <c r="FW122" s="30"/>
      <c r="FX122" s="30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  <c r="AAA122" s="3"/>
      <c r="AAB122" s="3"/>
      <c r="AAC122" s="3"/>
      <c r="AAD122" s="3"/>
      <c r="AAE122" s="3"/>
      <c r="AAF122" s="3"/>
      <c r="AAG122" s="3"/>
      <c r="AAH122" s="3"/>
      <c r="AAI122" s="3"/>
      <c r="AAJ122" s="3"/>
      <c r="AAK122" s="3"/>
      <c r="AAL122" s="3"/>
      <c r="AAM122" s="3"/>
    </row>
    <row r="123" spans="1:715" s="2" customFormat="1" ht="50" customHeight="1">
      <c r="A123" s="8"/>
      <c r="B123" s="12"/>
      <c r="C123" s="8"/>
      <c r="D123" s="8"/>
      <c r="E123" s="8"/>
      <c r="F123" s="23"/>
      <c r="G123" s="21"/>
      <c r="H123" s="21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23"/>
      <c r="CI123" s="23"/>
      <c r="CJ123" s="23"/>
      <c r="CK123" s="23"/>
      <c r="CL123" s="23"/>
      <c r="CM123" s="23"/>
      <c r="CN123" s="23"/>
      <c r="CO123" s="23"/>
      <c r="CP123" s="23"/>
      <c r="CQ123" s="23"/>
      <c r="CR123" s="23"/>
      <c r="CS123" s="23"/>
      <c r="CT123" s="23"/>
      <c r="CU123" s="23"/>
      <c r="CV123" s="23"/>
      <c r="CW123" s="23"/>
      <c r="CX123" s="23"/>
      <c r="CY123" s="23"/>
      <c r="CZ123" s="23"/>
      <c r="DA123" s="23"/>
      <c r="DB123" s="23"/>
      <c r="DC123" s="23"/>
      <c r="DD123" s="23"/>
      <c r="DE123" s="23"/>
      <c r="DF123" s="23"/>
      <c r="DG123" s="23"/>
      <c r="DH123" s="23"/>
      <c r="DI123" s="23"/>
      <c r="DJ123" s="23"/>
      <c r="DK123" s="23"/>
      <c r="DL123" s="23"/>
      <c r="DM123" s="23"/>
      <c r="DN123" s="23"/>
      <c r="DO123" s="23"/>
      <c r="DP123" s="23"/>
      <c r="DQ123" s="23"/>
      <c r="DR123" s="23"/>
      <c r="DS123" s="23"/>
      <c r="DT123" s="23"/>
      <c r="DU123" s="23"/>
      <c r="DV123" s="23"/>
      <c r="DW123" s="30"/>
      <c r="DX123" s="30"/>
      <c r="DY123" s="30"/>
      <c r="DZ123" s="30"/>
      <c r="EA123" s="30"/>
      <c r="EB123" s="30"/>
      <c r="EC123" s="30"/>
      <c r="ED123" s="30"/>
      <c r="EE123" s="30"/>
      <c r="EF123" s="30"/>
      <c r="EG123" s="30"/>
      <c r="EH123" s="30"/>
      <c r="EI123" s="30"/>
      <c r="EJ123" s="30"/>
      <c r="EK123" s="30"/>
      <c r="EL123" s="30"/>
      <c r="EM123" s="30"/>
      <c r="EN123" s="30"/>
      <c r="EO123" s="30"/>
      <c r="EP123" s="30"/>
      <c r="EQ123" s="30"/>
      <c r="ER123" s="30"/>
      <c r="ES123" s="30"/>
      <c r="ET123" s="30"/>
      <c r="EU123" s="30"/>
      <c r="EV123" s="30"/>
      <c r="EW123" s="30"/>
      <c r="EX123" s="30"/>
      <c r="EY123" s="30"/>
      <c r="EZ123" s="30"/>
      <c r="FA123" s="30"/>
      <c r="FB123" s="30"/>
      <c r="FC123" s="30"/>
      <c r="FD123" s="30"/>
      <c r="FE123" s="30"/>
      <c r="FF123" s="30"/>
      <c r="FG123" s="30"/>
      <c r="FH123" s="30"/>
      <c r="FI123" s="30"/>
      <c r="FJ123" s="30"/>
      <c r="FK123" s="30"/>
      <c r="FL123" s="30"/>
      <c r="FM123" s="30"/>
      <c r="FN123" s="30"/>
      <c r="FO123" s="30"/>
      <c r="FP123" s="30"/>
      <c r="FQ123" s="30"/>
      <c r="FR123" s="30"/>
      <c r="FS123" s="30"/>
      <c r="FT123" s="30"/>
      <c r="FU123" s="30"/>
      <c r="FV123" s="30"/>
      <c r="FW123" s="30"/>
      <c r="FX123" s="30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  <c r="AAA123" s="3"/>
      <c r="AAB123" s="3"/>
      <c r="AAC123" s="3"/>
      <c r="AAD123" s="3"/>
      <c r="AAE123" s="3"/>
      <c r="AAF123" s="3"/>
      <c r="AAG123" s="3"/>
      <c r="AAH123" s="3"/>
      <c r="AAI123" s="3"/>
      <c r="AAJ123" s="3"/>
      <c r="AAK123" s="3"/>
      <c r="AAL123" s="3"/>
      <c r="AAM123" s="3"/>
    </row>
    <row r="124" spans="1:715" s="2" customFormat="1" ht="50" customHeight="1">
      <c r="A124" s="8"/>
      <c r="B124" s="12"/>
      <c r="C124" s="8"/>
      <c r="D124" s="8"/>
      <c r="E124" s="8"/>
      <c r="F124" s="23"/>
      <c r="G124" s="21"/>
      <c r="H124" s="21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23"/>
      <c r="BL124" s="23"/>
      <c r="BM124" s="23"/>
      <c r="BN124" s="23"/>
      <c r="BO124" s="23"/>
      <c r="BP124" s="23"/>
      <c r="BQ124" s="23"/>
      <c r="BR124" s="23"/>
      <c r="BS124" s="23"/>
      <c r="BT124" s="23"/>
      <c r="BU124" s="23"/>
      <c r="BV124" s="23"/>
      <c r="BW124" s="23"/>
      <c r="BX124" s="23"/>
      <c r="BY124" s="23"/>
      <c r="BZ124" s="23"/>
      <c r="CA124" s="23"/>
      <c r="CB124" s="23"/>
      <c r="CC124" s="23"/>
      <c r="CD124" s="23"/>
      <c r="CE124" s="23"/>
      <c r="CF124" s="23"/>
      <c r="CG124" s="23"/>
      <c r="CH124" s="23"/>
      <c r="CI124" s="23"/>
      <c r="CJ124" s="23"/>
      <c r="CK124" s="23"/>
      <c r="CL124" s="23"/>
      <c r="CM124" s="21"/>
      <c r="CN124" s="21"/>
      <c r="CO124" s="21"/>
      <c r="CP124" s="23"/>
      <c r="CQ124" s="21"/>
      <c r="CR124" s="21"/>
      <c r="CS124" s="21"/>
      <c r="CT124" s="23"/>
      <c r="CU124" s="21"/>
      <c r="CV124" s="21"/>
      <c r="CW124" s="21"/>
      <c r="CX124" s="23"/>
      <c r="CY124" s="21"/>
      <c r="CZ124" s="21"/>
      <c r="DA124" s="21"/>
      <c r="DB124" s="23"/>
      <c r="DC124" s="21"/>
      <c r="DD124" s="21"/>
      <c r="DE124" s="21"/>
      <c r="DF124" s="23"/>
      <c r="DG124" s="21"/>
      <c r="DH124" s="21"/>
      <c r="DI124" s="21"/>
      <c r="DJ124" s="23"/>
      <c r="DK124" s="21"/>
      <c r="DL124" s="21"/>
      <c r="DM124" s="21"/>
      <c r="DN124" s="23"/>
      <c r="DO124" s="21"/>
      <c r="DP124" s="21"/>
      <c r="DQ124" s="21"/>
      <c r="DR124" s="23"/>
      <c r="DS124" s="21"/>
      <c r="DT124" s="21"/>
      <c r="DU124" s="21"/>
      <c r="DV124" s="23"/>
      <c r="DW124" s="32"/>
      <c r="DX124" s="32"/>
      <c r="DY124" s="31"/>
      <c r="DZ124" s="30"/>
      <c r="EA124" s="32"/>
      <c r="EB124" s="32"/>
      <c r="EC124" s="31"/>
      <c r="ED124" s="30"/>
      <c r="EE124" s="32"/>
      <c r="EF124" s="32"/>
      <c r="EG124" s="31"/>
      <c r="EH124" s="30"/>
      <c r="EI124" s="32"/>
      <c r="EJ124" s="32"/>
      <c r="EK124" s="31"/>
      <c r="EL124" s="30"/>
      <c r="EM124" s="32"/>
      <c r="EN124" s="32"/>
      <c r="EO124" s="31"/>
      <c r="EP124" s="30"/>
      <c r="EQ124" s="32"/>
      <c r="ER124" s="32"/>
      <c r="ES124" s="31"/>
      <c r="ET124" s="30"/>
      <c r="EU124" s="32"/>
      <c r="EV124" s="32"/>
      <c r="EW124" s="31"/>
      <c r="EX124" s="30"/>
      <c r="EY124" s="32"/>
      <c r="EZ124" s="32"/>
      <c r="FA124" s="31"/>
      <c r="FB124" s="30"/>
      <c r="FC124" s="32"/>
      <c r="FD124" s="32"/>
      <c r="FE124" s="31"/>
      <c r="FF124" s="30"/>
      <c r="FG124" s="32"/>
      <c r="FH124" s="32"/>
      <c r="FI124" s="31"/>
      <c r="FJ124" s="30"/>
      <c r="FK124" s="32"/>
      <c r="FL124" s="32"/>
      <c r="FM124" s="31"/>
      <c r="FN124" s="30"/>
      <c r="FO124" s="30"/>
      <c r="FP124" s="30"/>
      <c r="FQ124" s="30"/>
      <c r="FR124" s="30"/>
      <c r="FS124" s="30"/>
      <c r="FT124" s="30"/>
      <c r="FU124" s="30"/>
      <c r="FV124" s="30"/>
      <c r="FW124" s="30"/>
      <c r="FX124" s="30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  <c r="AAA124" s="3"/>
      <c r="AAB124" s="3"/>
      <c r="AAC124" s="3"/>
      <c r="AAD124" s="3"/>
      <c r="AAE124" s="3"/>
      <c r="AAF124" s="3"/>
      <c r="AAG124" s="3"/>
      <c r="AAH124" s="3"/>
      <c r="AAI124" s="3"/>
      <c r="AAJ124" s="3"/>
      <c r="AAK124" s="3"/>
      <c r="AAL124" s="3"/>
      <c r="AAM124" s="3"/>
    </row>
    <row r="125" spans="1:715" s="2" customFormat="1" ht="50" customHeight="1">
      <c r="A125" s="8"/>
      <c r="B125" s="12"/>
      <c r="C125" s="8"/>
      <c r="D125" s="8"/>
      <c r="E125" s="8"/>
      <c r="F125" s="23"/>
      <c r="G125" s="21"/>
      <c r="H125" s="21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N125" s="23"/>
      <c r="BO125" s="23"/>
      <c r="BP125" s="23"/>
      <c r="BQ125" s="23"/>
      <c r="BR125" s="23"/>
      <c r="BS125" s="23"/>
      <c r="BT125" s="23"/>
      <c r="BU125" s="23"/>
      <c r="BV125" s="23"/>
      <c r="BW125" s="23"/>
      <c r="BX125" s="23"/>
      <c r="BY125" s="23"/>
      <c r="BZ125" s="23"/>
      <c r="CA125" s="23"/>
      <c r="CB125" s="23"/>
      <c r="CC125" s="23"/>
      <c r="CD125" s="23"/>
      <c r="CE125" s="23"/>
      <c r="CF125" s="23"/>
      <c r="CG125" s="23"/>
      <c r="CH125" s="23"/>
      <c r="CI125" s="23"/>
      <c r="CJ125" s="23"/>
      <c r="CK125" s="23"/>
      <c r="CL125" s="23"/>
      <c r="CM125" s="21"/>
      <c r="CN125" s="21"/>
      <c r="CO125" s="21"/>
      <c r="CP125" s="23"/>
      <c r="CQ125" s="21"/>
      <c r="CR125" s="21"/>
      <c r="CS125" s="21"/>
      <c r="CT125" s="23"/>
      <c r="CU125" s="21"/>
      <c r="CV125" s="21"/>
      <c r="CW125" s="21"/>
      <c r="CX125" s="23"/>
      <c r="CY125" s="21"/>
      <c r="CZ125" s="21"/>
      <c r="DA125" s="21"/>
      <c r="DB125" s="23"/>
      <c r="DC125" s="21"/>
      <c r="DD125" s="21"/>
      <c r="DE125" s="21"/>
      <c r="DF125" s="23"/>
      <c r="DG125" s="21"/>
      <c r="DH125" s="21"/>
      <c r="DI125" s="21"/>
      <c r="DJ125" s="23"/>
      <c r="DK125" s="21"/>
      <c r="DL125" s="21"/>
      <c r="DM125" s="21"/>
      <c r="DN125" s="23"/>
      <c r="DO125" s="21"/>
      <c r="DP125" s="21"/>
      <c r="DQ125" s="21"/>
      <c r="DR125" s="23"/>
      <c r="DS125" s="21"/>
      <c r="DT125" s="21"/>
      <c r="DU125" s="21"/>
      <c r="DV125" s="23"/>
      <c r="DW125" s="32"/>
      <c r="DX125" s="32"/>
      <c r="DY125" s="31"/>
      <c r="DZ125" s="30"/>
      <c r="EA125" s="32"/>
      <c r="EB125" s="32"/>
      <c r="EC125" s="31"/>
      <c r="ED125" s="30"/>
      <c r="EE125" s="32"/>
      <c r="EF125" s="32"/>
      <c r="EG125" s="31"/>
      <c r="EH125" s="30"/>
      <c r="EI125" s="32"/>
      <c r="EJ125" s="32"/>
      <c r="EK125" s="31"/>
      <c r="EL125" s="30"/>
      <c r="EM125" s="32"/>
      <c r="EN125" s="32"/>
      <c r="EO125" s="31"/>
      <c r="EP125" s="30"/>
      <c r="EQ125" s="32"/>
      <c r="ER125" s="32"/>
      <c r="ES125" s="31"/>
      <c r="ET125" s="30"/>
      <c r="EU125" s="32"/>
      <c r="EV125" s="32"/>
      <c r="EW125" s="31"/>
      <c r="EX125" s="30"/>
      <c r="EY125" s="32"/>
      <c r="EZ125" s="32"/>
      <c r="FA125" s="31"/>
      <c r="FB125" s="30"/>
      <c r="FC125" s="32"/>
      <c r="FD125" s="32"/>
      <c r="FE125" s="31"/>
      <c r="FF125" s="30"/>
      <c r="FG125" s="32"/>
      <c r="FH125" s="32"/>
      <c r="FI125" s="31"/>
      <c r="FJ125" s="30"/>
      <c r="FK125" s="32"/>
      <c r="FL125" s="32"/>
      <c r="FM125" s="31"/>
      <c r="FN125" s="30"/>
      <c r="FO125" s="30"/>
      <c r="FP125" s="30"/>
      <c r="FQ125" s="30"/>
      <c r="FR125" s="30"/>
      <c r="FS125" s="30"/>
      <c r="FT125" s="30"/>
      <c r="FU125" s="30"/>
      <c r="FV125" s="30"/>
      <c r="FW125" s="30"/>
      <c r="FX125" s="30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  <c r="AAA125" s="3"/>
      <c r="AAB125" s="3"/>
      <c r="AAC125" s="3"/>
      <c r="AAD125" s="3"/>
      <c r="AAE125" s="3"/>
      <c r="AAF125" s="3"/>
      <c r="AAG125" s="3"/>
      <c r="AAH125" s="3"/>
      <c r="AAI125" s="3"/>
      <c r="AAJ125" s="3"/>
      <c r="AAK125" s="3"/>
      <c r="AAL125" s="3"/>
      <c r="AAM125" s="3"/>
    </row>
    <row r="126" spans="1:715" s="2" customFormat="1" ht="50" customHeight="1">
      <c r="A126" s="8"/>
      <c r="B126" s="12"/>
      <c r="C126" s="8"/>
      <c r="D126" s="8"/>
      <c r="E126" s="8"/>
      <c r="F126" s="23"/>
      <c r="G126" s="21"/>
      <c r="H126" s="21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N126" s="23"/>
      <c r="BO126" s="23"/>
      <c r="BP126" s="23"/>
      <c r="BQ126" s="23"/>
      <c r="BR126" s="23"/>
      <c r="BS126" s="23"/>
      <c r="BT126" s="23"/>
      <c r="BU126" s="23"/>
      <c r="BV126" s="23"/>
      <c r="BW126" s="23"/>
      <c r="BX126" s="23"/>
      <c r="BY126" s="23"/>
      <c r="BZ126" s="23"/>
      <c r="CA126" s="23"/>
      <c r="CB126" s="23"/>
      <c r="CC126" s="23"/>
      <c r="CD126" s="23"/>
      <c r="CE126" s="23"/>
      <c r="CF126" s="23"/>
      <c r="CG126" s="23"/>
      <c r="CH126" s="23"/>
      <c r="CI126" s="23"/>
      <c r="CJ126" s="23"/>
      <c r="CK126" s="23"/>
      <c r="CL126" s="23"/>
      <c r="CM126" s="23"/>
      <c r="CN126" s="23"/>
      <c r="CO126" s="23"/>
      <c r="CP126" s="23"/>
      <c r="CQ126" s="23"/>
      <c r="CR126" s="23"/>
      <c r="CS126" s="23"/>
      <c r="CT126" s="23"/>
      <c r="CU126" s="23"/>
      <c r="CV126" s="23"/>
      <c r="CW126" s="23"/>
      <c r="CX126" s="23"/>
      <c r="CY126" s="23"/>
      <c r="CZ126" s="23"/>
      <c r="DA126" s="23"/>
      <c r="DB126" s="23"/>
      <c r="DC126" s="23"/>
      <c r="DD126" s="23"/>
      <c r="DE126" s="23"/>
      <c r="DF126" s="23"/>
      <c r="DG126" s="23"/>
      <c r="DH126" s="23"/>
      <c r="DI126" s="23"/>
      <c r="DJ126" s="23"/>
      <c r="DK126" s="23"/>
      <c r="DL126" s="23"/>
      <c r="DM126" s="23"/>
      <c r="DN126" s="23"/>
      <c r="DO126" s="23"/>
      <c r="DP126" s="23"/>
      <c r="DQ126" s="23"/>
      <c r="DR126" s="23"/>
      <c r="DS126" s="23"/>
      <c r="DT126" s="23"/>
      <c r="DU126" s="23"/>
      <c r="DV126" s="23"/>
      <c r="DW126" s="30"/>
      <c r="DX126" s="30"/>
      <c r="DY126" s="30"/>
      <c r="DZ126" s="30"/>
      <c r="EA126" s="30"/>
      <c r="EB126" s="30"/>
      <c r="EC126" s="30"/>
      <c r="ED126" s="30"/>
      <c r="EE126" s="30"/>
      <c r="EF126" s="30"/>
      <c r="EG126" s="30"/>
      <c r="EH126" s="30"/>
      <c r="EI126" s="30"/>
      <c r="EJ126" s="30"/>
      <c r="EK126" s="30"/>
      <c r="EL126" s="30"/>
      <c r="EM126" s="30"/>
      <c r="EN126" s="30"/>
      <c r="EO126" s="30"/>
      <c r="EP126" s="30"/>
      <c r="EQ126" s="30"/>
      <c r="ER126" s="30"/>
      <c r="ES126" s="30"/>
      <c r="ET126" s="30"/>
      <c r="EU126" s="30"/>
      <c r="EV126" s="30"/>
      <c r="EW126" s="30"/>
      <c r="EX126" s="30"/>
      <c r="EY126" s="30"/>
      <c r="EZ126" s="30"/>
      <c r="FA126" s="30"/>
      <c r="FB126" s="30"/>
      <c r="FC126" s="30"/>
      <c r="FD126" s="30"/>
      <c r="FE126" s="30"/>
      <c r="FF126" s="30"/>
      <c r="FG126" s="30"/>
      <c r="FH126" s="30"/>
      <c r="FI126" s="30"/>
      <c r="FJ126" s="30"/>
      <c r="FK126" s="30"/>
      <c r="FL126" s="30"/>
      <c r="FM126" s="30"/>
      <c r="FN126" s="30"/>
      <c r="FO126" s="30"/>
      <c r="FP126" s="30"/>
      <c r="FQ126" s="30"/>
      <c r="FR126" s="30"/>
      <c r="FS126" s="30"/>
      <c r="FT126" s="30"/>
      <c r="FU126" s="30"/>
      <c r="FV126" s="30"/>
      <c r="FW126" s="30"/>
      <c r="FX126" s="30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  <c r="AAA126" s="3"/>
      <c r="AAB126" s="3"/>
      <c r="AAC126" s="3"/>
      <c r="AAD126" s="3"/>
      <c r="AAE126" s="3"/>
      <c r="AAF126" s="3"/>
      <c r="AAG126" s="3"/>
      <c r="AAH126" s="3"/>
      <c r="AAI126" s="3"/>
      <c r="AAJ126" s="3"/>
      <c r="AAK126" s="3"/>
      <c r="AAL126" s="3"/>
      <c r="AAM126" s="3"/>
    </row>
    <row r="127" spans="1:715" s="2" customFormat="1" ht="50" customHeight="1">
      <c r="A127" s="8"/>
      <c r="B127" s="12"/>
      <c r="C127" s="8"/>
      <c r="D127" s="8"/>
      <c r="E127" s="8"/>
      <c r="F127" s="23"/>
      <c r="G127" s="21"/>
      <c r="H127" s="21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N127" s="23"/>
      <c r="BO127" s="23"/>
      <c r="BP127" s="23"/>
      <c r="BQ127" s="23"/>
      <c r="BR127" s="23"/>
      <c r="BS127" s="23"/>
      <c r="BT127" s="23"/>
      <c r="BU127" s="23"/>
      <c r="BV127" s="23"/>
      <c r="BW127" s="23"/>
      <c r="BX127" s="23"/>
      <c r="BY127" s="23"/>
      <c r="BZ127" s="23"/>
      <c r="CA127" s="23"/>
      <c r="CB127" s="23"/>
      <c r="CC127" s="23"/>
      <c r="CD127" s="23"/>
      <c r="CE127" s="23"/>
      <c r="CF127" s="23"/>
      <c r="CG127" s="23"/>
      <c r="CH127" s="23"/>
      <c r="CI127" s="23"/>
      <c r="CJ127" s="23"/>
      <c r="CK127" s="23"/>
      <c r="CL127" s="23"/>
      <c r="CM127" s="23"/>
      <c r="CN127" s="23"/>
      <c r="CO127" s="23"/>
      <c r="CP127" s="23"/>
      <c r="CQ127" s="23"/>
      <c r="CR127" s="23"/>
      <c r="CS127" s="23"/>
      <c r="CT127" s="23"/>
      <c r="CU127" s="23"/>
      <c r="CV127" s="23"/>
      <c r="CW127" s="23"/>
      <c r="CX127" s="23"/>
      <c r="CY127" s="23"/>
      <c r="CZ127" s="23"/>
      <c r="DA127" s="23"/>
      <c r="DB127" s="23"/>
      <c r="DC127" s="23"/>
      <c r="DD127" s="23"/>
      <c r="DE127" s="23"/>
      <c r="DF127" s="23"/>
      <c r="DG127" s="23"/>
      <c r="DH127" s="23"/>
      <c r="DI127" s="23"/>
      <c r="DJ127" s="23"/>
      <c r="DK127" s="23"/>
      <c r="DL127" s="23"/>
      <c r="DM127" s="23"/>
      <c r="DN127" s="23"/>
      <c r="DO127" s="23"/>
      <c r="DP127" s="23"/>
      <c r="DQ127" s="23"/>
      <c r="DR127" s="23"/>
      <c r="DS127" s="23"/>
      <c r="DT127" s="23"/>
      <c r="DU127" s="23"/>
      <c r="DV127" s="23"/>
      <c r="DW127" s="30"/>
      <c r="DX127" s="30"/>
      <c r="DY127" s="30"/>
      <c r="DZ127" s="30"/>
      <c r="EA127" s="30"/>
      <c r="EB127" s="30"/>
      <c r="EC127" s="30"/>
      <c r="ED127" s="30"/>
      <c r="EE127" s="30"/>
      <c r="EF127" s="30"/>
      <c r="EG127" s="30"/>
      <c r="EH127" s="30"/>
      <c r="EI127" s="30"/>
      <c r="EJ127" s="30"/>
      <c r="EK127" s="30"/>
      <c r="EL127" s="30"/>
      <c r="EM127" s="30"/>
      <c r="EN127" s="30"/>
      <c r="EO127" s="30"/>
      <c r="EP127" s="30"/>
      <c r="EQ127" s="30"/>
      <c r="ER127" s="30"/>
      <c r="ES127" s="30"/>
      <c r="ET127" s="30"/>
      <c r="EU127" s="30"/>
      <c r="EV127" s="30"/>
      <c r="EW127" s="30"/>
      <c r="EX127" s="30"/>
      <c r="EY127" s="30"/>
      <c r="EZ127" s="30"/>
      <c r="FA127" s="30"/>
      <c r="FB127" s="30"/>
      <c r="FC127" s="30"/>
      <c r="FD127" s="30"/>
      <c r="FE127" s="30"/>
      <c r="FF127" s="30"/>
      <c r="FG127" s="30"/>
      <c r="FH127" s="30"/>
      <c r="FI127" s="30"/>
      <c r="FJ127" s="30"/>
      <c r="FK127" s="30"/>
      <c r="FL127" s="30"/>
      <c r="FM127" s="30"/>
      <c r="FN127" s="30"/>
      <c r="FO127" s="30"/>
      <c r="FP127" s="30"/>
      <c r="FQ127" s="30"/>
      <c r="FR127" s="30"/>
      <c r="FS127" s="30"/>
      <c r="FT127" s="30"/>
      <c r="FU127" s="30"/>
      <c r="FV127" s="30"/>
      <c r="FW127" s="30"/>
      <c r="FX127" s="30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  <c r="AAA127" s="3"/>
      <c r="AAB127" s="3"/>
      <c r="AAC127" s="3"/>
      <c r="AAD127" s="3"/>
      <c r="AAE127" s="3"/>
      <c r="AAF127" s="3"/>
      <c r="AAG127" s="3"/>
      <c r="AAH127" s="3"/>
      <c r="AAI127" s="3"/>
      <c r="AAJ127" s="3"/>
      <c r="AAK127" s="3"/>
      <c r="AAL127" s="3"/>
      <c r="AAM127" s="3"/>
    </row>
    <row r="128" spans="1:715" s="2" customFormat="1" ht="50" customHeight="1">
      <c r="A128" s="8"/>
      <c r="B128" s="12"/>
      <c r="C128" s="8"/>
      <c r="D128" s="8"/>
      <c r="E128" s="8"/>
      <c r="F128" s="23"/>
      <c r="G128" s="21"/>
      <c r="H128" s="21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N128" s="23"/>
      <c r="BO128" s="23"/>
      <c r="BP128" s="23"/>
      <c r="BQ128" s="23"/>
      <c r="BR128" s="23"/>
      <c r="BS128" s="23"/>
      <c r="BT128" s="23"/>
      <c r="BU128" s="23"/>
      <c r="BV128" s="23"/>
      <c r="BW128" s="23"/>
      <c r="BX128" s="23"/>
      <c r="BY128" s="23"/>
      <c r="BZ128" s="23"/>
      <c r="CA128" s="23"/>
      <c r="CB128" s="23"/>
      <c r="CC128" s="23"/>
      <c r="CD128" s="23"/>
      <c r="CE128" s="23"/>
      <c r="CF128" s="23"/>
      <c r="CG128" s="23"/>
      <c r="CH128" s="23"/>
      <c r="CI128" s="23"/>
      <c r="CJ128" s="23"/>
      <c r="CK128" s="23"/>
      <c r="CL128" s="23"/>
      <c r="CM128" s="21"/>
      <c r="CN128" s="21"/>
      <c r="CO128" s="21"/>
      <c r="CP128" s="23"/>
      <c r="CQ128" s="21"/>
      <c r="CR128" s="21"/>
      <c r="CS128" s="21"/>
      <c r="CT128" s="23"/>
      <c r="CU128" s="21"/>
      <c r="CV128" s="21"/>
      <c r="CW128" s="21"/>
      <c r="CX128" s="23"/>
      <c r="CY128" s="21"/>
      <c r="CZ128" s="21"/>
      <c r="DA128" s="21"/>
      <c r="DB128" s="23"/>
      <c r="DC128" s="21"/>
      <c r="DD128" s="21"/>
      <c r="DE128" s="21"/>
      <c r="DF128" s="23"/>
      <c r="DG128" s="21"/>
      <c r="DH128" s="21"/>
      <c r="DI128" s="21"/>
      <c r="DJ128" s="23"/>
      <c r="DK128" s="21"/>
      <c r="DL128" s="21"/>
      <c r="DM128" s="21"/>
      <c r="DN128" s="23"/>
      <c r="DO128" s="21"/>
      <c r="DP128" s="21"/>
      <c r="DQ128" s="21"/>
      <c r="DR128" s="23"/>
      <c r="DS128" s="21"/>
      <c r="DT128" s="21"/>
      <c r="DU128" s="21"/>
      <c r="DV128" s="23"/>
      <c r="DW128" s="32"/>
      <c r="DX128" s="32"/>
      <c r="DY128" s="31"/>
      <c r="DZ128" s="30"/>
      <c r="EA128" s="32"/>
      <c r="EB128" s="32"/>
      <c r="EC128" s="31"/>
      <c r="ED128" s="30"/>
      <c r="EE128" s="32"/>
      <c r="EF128" s="32"/>
      <c r="EG128" s="31"/>
      <c r="EH128" s="30"/>
      <c r="EI128" s="32"/>
      <c r="EJ128" s="32"/>
      <c r="EK128" s="31"/>
      <c r="EL128" s="30"/>
      <c r="EM128" s="32"/>
      <c r="EN128" s="32"/>
      <c r="EO128" s="31"/>
      <c r="EP128" s="30"/>
      <c r="EQ128" s="32"/>
      <c r="ER128" s="32"/>
      <c r="ES128" s="31"/>
      <c r="ET128" s="30"/>
      <c r="EU128" s="32"/>
      <c r="EV128" s="32"/>
      <c r="EW128" s="31"/>
      <c r="EX128" s="30"/>
      <c r="EY128" s="32"/>
      <c r="EZ128" s="32"/>
      <c r="FA128" s="31"/>
      <c r="FB128" s="30"/>
      <c r="FC128" s="32"/>
      <c r="FD128" s="32"/>
      <c r="FE128" s="31"/>
      <c r="FF128" s="30"/>
      <c r="FG128" s="32"/>
      <c r="FH128" s="32"/>
      <c r="FI128" s="31"/>
      <c r="FJ128" s="30"/>
      <c r="FK128" s="32"/>
      <c r="FL128" s="32"/>
      <c r="FM128" s="31"/>
      <c r="FN128" s="30"/>
      <c r="FO128" s="30"/>
      <c r="FP128" s="30"/>
      <c r="FQ128" s="30"/>
      <c r="FR128" s="30"/>
      <c r="FS128" s="30"/>
      <c r="FT128" s="30"/>
      <c r="FU128" s="30"/>
      <c r="FV128" s="30"/>
      <c r="FW128" s="30"/>
      <c r="FX128" s="30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  <c r="AAA128" s="3"/>
      <c r="AAB128" s="3"/>
      <c r="AAC128" s="3"/>
      <c r="AAD128" s="3"/>
      <c r="AAE128" s="3"/>
      <c r="AAF128" s="3"/>
      <c r="AAG128" s="3"/>
      <c r="AAH128" s="3"/>
      <c r="AAI128" s="3"/>
      <c r="AAJ128" s="3"/>
      <c r="AAK128" s="3"/>
      <c r="AAL128" s="3"/>
      <c r="AAM128" s="3"/>
    </row>
    <row r="129" spans="1:715" s="2" customFormat="1" ht="50" customHeight="1">
      <c r="A129" s="8"/>
      <c r="B129" s="12"/>
      <c r="C129" s="8"/>
      <c r="D129" s="8"/>
      <c r="E129" s="8"/>
      <c r="F129" s="23"/>
      <c r="G129" s="21"/>
      <c r="H129" s="21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  <c r="BI129" s="23"/>
      <c r="BJ129" s="23"/>
      <c r="BK129" s="23"/>
      <c r="BL129" s="23"/>
      <c r="BM129" s="23"/>
      <c r="BN129" s="23"/>
      <c r="BO129" s="23"/>
      <c r="BP129" s="23"/>
      <c r="BQ129" s="23"/>
      <c r="BR129" s="23"/>
      <c r="BS129" s="23"/>
      <c r="BT129" s="23"/>
      <c r="BU129" s="23"/>
      <c r="BV129" s="23"/>
      <c r="BW129" s="23"/>
      <c r="BX129" s="23"/>
      <c r="BY129" s="23"/>
      <c r="BZ129" s="23"/>
      <c r="CA129" s="23"/>
      <c r="CB129" s="23"/>
      <c r="CC129" s="23"/>
      <c r="CD129" s="23"/>
      <c r="CE129" s="23"/>
      <c r="CF129" s="23"/>
      <c r="CG129" s="23"/>
      <c r="CH129" s="23"/>
      <c r="CI129" s="23"/>
      <c r="CJ129" s="23"/>
      <c r="CK129" s="23"/>
      <c r="CL129" s="23"/>
      <c r="CM129" s="22"/>
      <c r="CN129" s="22"/>
      <c r="CO129" s="21"/>
      <c r="CP129" s="23"/>
      <c r="CQ129" s="22"/>
      <c r="CR129" s="22"/>
      <c r="CS129" s="21"/>
      <c r="CT129" s="23"/>
      <c r="CU129" s="22"/>
      <c r="CV129" s="22"/>
      <c r="CW129" s="21"/>
      <c r="CX129" s="23"/>
      <c r="CY129" s="22"/>
      <c r="CZ129" s="22"/>
      <c r="DA129" s="21"/>
      <c r="DB129" s="23"/>
      <c r="DC129" s="22"/>
      <c r="DD129" s="22"/>
      <c r="DE129" s="21"/>
      <c r="DF129" s="23"/>
      <c r="DG129" s="22"/>
      <c r="DH129" s="22"/>
      <c r="DI129" s="21"/>
      <c r="DJ129" s="23"/>
      <c r="DK129" s="22"/>
      <c r="DL129" s="22"/>
      <c r="DM129" s="21"/>
      <c r="DN129" s="23"/>
      <c r="DO129" s="22"/>
      <c r="DP129" s="22"/>
      <c r="DQ129" s="21"/>
      <c r="DR129" s="23"/>
      <c r="DS129" s="22"/>
      <c r="DT129" s="22"/>
      <c r="DU129" s="21"/>
      <c r="DV129" s="23"/>
      <c r="DW129" s="32"/>
      <c r="DX129" s="32"/>
      <c r="DY129" s="31"/>
      <c r="DZ129" s="30"/>
      <c r="EA129" s="32"/>
      <c r="EB129" s="32"/>
      <c r="EC129" s="31"/>
      <c r="ED129" s="30"/>
      <c r="EE129" s="32"/>
      <c r="EF129" s="32"/>
      <c r="EG129" s="31"/>
      <c r="EH129" s="30"/>
      <c r="EI129" s="32"/>
      <c r="EJ129" s="32"/>
      <c r="EK129" s="31"/>
      <c r="EL129" s="30"/>
      <c r="EM129" s="32"/>
      <c r="EN129" s="32"/>
      <c r="EO129" s="31"/>
      <c r="EP129" s="30"/>
      <c r="EQ129" s="32"/>
      <c r="ER129" s="32"/>
      <c r="ES129" s="31"/>
      <c r="ET129" s="30"/>
      <c r="EU129" s="32"/>
      <c r="EV129" s="32"/>
      <c r="EW129" s="31"/>
      <c r="EX129" s="30"/>
      <c r="EY129" s="32"/>
      <c r="EZ129" s="32"/>
      <c r="FA129" s="31"/>
      <c r="FB129" s="30"/>
      <c r="FC129" s="32"/>
      <c r="FD129" s="32"/>
      <c r="FE129" s="31"/>
      <c r="FF129" s="30"/>
      <c r="FG129" s="32"/>
      <c r="FH129" s="32"/>
      <c r="FI129" s="31"/>
      <c r="FJ129" s="30"/>
      <c r="FK129" s="32"/>
      <c r="FL129" s="32"/>
      <c r="FM129" s="31"/>
      <c r="FN129" s="30"/>
      <c r="FO129" s="30"/>
      <c r="FP129" s="30"/>
      <c r="FQ129" s="30"/>
      <c r="FR129" s="30"/>
      <c r="FS129" s="30"/>
      <c r="FT129" s="30"/>
      <c r="FU129" s="30"/>
      <c r="FV129" s="30"/>
      <c r="FW129" s="30"/>
      <c r="FX129" s="30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  <c r="AAA129" s="3"/>
      <c r="AAB129" s="3"/>
      <c r="AAC129" s="3"/>
      <c r="AAD129" s="3"/>
      <c r="AAE129" s="3"/>
      <c r="AAF129" s="3"/>
      <c r="AAG129" s="3"/>
      <c r="AAH129" s="3"/>
      <c r="AAI129" s="3"/>
      <c r="AAJ129" s="3"/>
      <c r="AAK129" s="3"/>
      <c r="AAL129" s="3"/>
      <c r="AAM129" s="3"/>
    </row>
    <row r="130" spans="1:715" s="2" customFormat="1" ht="50" customHeight="1">
      <c r="A130" s="8"/>
      <c r="B130" s="12"/>
      <c r="C130" s="8"/>
      <c r="D130" s="8"/>
      <c r="E130" s="8"/>
      <c r="F130" s="8"/>
      <c r="G130" s="5"/>
      <c r="H130" s="5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0"/>
      <c r="CL130" s="30"/>
      <c r="CM130" s="30"/>
      <c r="CN130" s="30"/>
      <c r="CO130" s="30"/>
      <c r="CP130" s="30"/>
      <c r="CQ130" s="30"/>
      <c r="CR130" s="30"/>
      <c r="CS130" s="30"/>
      <c r="CT130" s="30"/>
      <c r="CU130" s="30"/>
      <c r="CV130" s="30"/>
      <c r="CW130" s="30"/>
      <c r="CX130" s="30"/>
      <c r="CY130" s="30"/>
      <c r="CZ130" s="30"/>
      <c r="DA130" s="30"/>
      <c r="DB130" s="30"/>
      <c r="DC130" s="30"/>
      <c r="DD130" s="30"/>
      <c r="DE130" s="30"/>
      <c r="DF130" s="30"/>
      <c r="DG130" s="30"/>
      <c r="DH130" s="30"/>
      <c r="DI130" s="30"/>
      <c r="DJ130" s="30"/>
      <c r="DK130" s="30"/>
      <c r="DL130" s="30"/>
      <c r="DM130" s="30"/>
      <c r="DN130" s="30"/>
      <c r="DO130" s="30"/>
      <c r="DP130" s="30"/>
      <c r="DQ130" s="30"/>
      <c r="DR130" s="30"/>
      <c r="DS130" s="30"/>
      <c r="DT130" s="30"/>
      <c r="DU130" s="30"/>
      <c r="DV130" s="30"/>
      <c r="DW130" s="30"/>
      <c r="DX130" s="30"/>
      <c r="DY130" s="30"/>
      <c r="DZ130" s="30"/>
      <c r="EA130" s="30"/>
      <c r="EB130" s="30"/>
      <c r="EC130" s="30"/>
      <c r="ED130" s="30"/>
      <c r="EE130" s="30"/>
      <c r="EF130" s="30"/>
      <c r="EG130" s="30"/>
      <c r="EH130" s="30"/>
      <c r="EI130" s="30"/>
      <c r="EJ130" s="30"/>
      <c r="EK130" s="30"/>
      <c r="EL130" s="30"/>
      <c r="EM130" s="30"/>
      <c r="EN130" s="30"/>
      <c r="EO130" s="30"/>
      <c r="EP130" s="30"/>
      <c r="EQ130" s="30"/>
      <c r="ER130" s="30"/>
      <c r="ES130" s="30"/>
      <c r="ET130" s="30"/>
      <c r="EU130" s="30"/>
      <c r="EV130" s="30"/>
      <c r="EW130" s="30"/>
      <c r="EX130" s="30"/>
      <c r="EY130" s="30"/>
      <c r="EZ130" s="30"/>
      <c r="FA130" s="30"/>
      <c r="FB130" s="30"/>
      <c r="FC130" s="30"/>
      <c r="FD130" s="30"/>
      <c r="FE130" s="30"/>
      <c r="FF130" s="30"/>
      <c r="FG130" s="30"/>
      <c r="FH130" s="30"/>
      <c r="FI130" s="30"/>
      <c r="FJ130" s="30"/>
      <c r="FK130" s="30"/>
      <c r="FL130" s="30"/>
      <c r="FM130" s="30"/>
      <c r="FN130" s="30"/>
      <c r="FO130" s="30"/>
      <c r="FP130" s="30"/>
      <c r="FQ130" s="30"/>
      <c r="FR130" s="30"/>
      <c r="FS130" s="30"/>
      <c r="FT130" s="30"/>
      <c r="FU130" s="30"/>
      <c r="FV130" s="30"/>
      <c r="FW130" s="30"/>
      <c r="FX130" s="30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  <c r="AAA130" s="3"/>
      <c r="AAB130" s="3"/>
      <c r="AAC130" s="3"/>
      <c r="AAD130" s="3"/>
      <c r="AAE130" s="3"/>
      <c r="AAF130" s="3"/>
      <c r="AAG130" s="3"/>
      <c r="AAH130" s="3"/>
      <c r="AAI130" s="3"/>
      <c r="AAJ130" s="3"/>
      <c r="AAK130" s="3"/>
      <c r="AAL130" s="3"/>
      <c r="AAM130" s="3"/>
    </row>
    <row r="131" spans="1:715" s="2" customFormat="1" ht="50" customHeight="1">
      <c r="A131" s="8"/>
      <c r="B131" s="12"/>
      <c r="C131" s="8"/>
      <c r="D131" s="8"/>
      <c r="E131" s="8"/>
      <c r="F131" s="8"/>
      <c r="G131" s="5"/>
      <c r="H131" s="5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0"/>
      <c r="CL131" s="33"/>
      <c r="CM131" s="33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  <c r="DB131" s="30"/>
      <c r="DC131" s="30"/>
      <c r="DD131" s="30"/>
      <c r="DE131" s="30"/>
      <c r="DF131" s="30"/>
      <c r="DG131" s="30"/>
      <c r="DH131" s="30"/>
      <c r="DI131" s="30"/>
      <c r="DJ131" s="30"/>
      <c r="DK131" s="30"/>
      <c r="DL131" s="30"/>
      <c r="DM131" s="30"/>
      <c r="DN131" s="30"/>
      <c r="DO131" s="30"/>
      <c r="DP131" s="30"/>
      <c r="DQ131" s="30"/>
      <c r="DR131" s="30"/>
      <c r="DS131" s="30"/>
      <c r="DT131" s="30"/>
      <c r="DU131" s="30"/>
      <c r="DV131" s="30"/>
      <c r="DW131" s="30"/>
      <c r="DX131" s="30"/>
      <c r="DY131" s="30"/>
      <c r="DZ131" s="30"/>
      <c r="EA131" s="30"/>
      <c r="EB131" s="30"/>
      <c r="EC131" s="30"/>
      <c r="ED131" s="30"/>
      <c r="EE131" s="30"/>
      <c r="EF131" s="30"/>
      <c r="EG131" s="30"/>
      <c r="EH131" s="30"/>
      <c r="EI131" s="30"/>
      <c r="EJ131" s="30"/>
      <c r="EK131" s="30"/>
      <c r="EL131" s="30"/>
      <c r="EM131" s="30"/>
      <c r="EN131" s="30"/>
      <c r="EO131" s="30"/>
      <c r="EP131" s="30"/>
      <c r="EQ131" s="30"/>
      <c r="ER131" s="30"/>
      <c r="ES131" s="30"/>
      <c r="ET131" s="30"/>
      <c r="EU131" s="30"/>
      <c r="EV131" s="30"/>
      <c r="EW131" s="30"/>
      <c r="EX131" s="30"/>
      <c r="EY131" s="30"/>
      <c r="EZ131" s="30"/>
      <c r="FA131" s="30"/>
      <c r="FB131" s="30"/>
      <c r="FC131" s="30"/>
      <c r="FD131" s="30"/>
      <c r="FE131" s="30"/>
      <c r="FF131" s="30"/>
      <c r="FG131" s="30"/>
      <c r="FH131" s="30"/>
      <c r="FI131" s="30"/>
      <c r="FJ131" s="30"/>
      <c r="FK131" s="30"/>
      <c r="FL131" s="30"/>
      <c r="FM131" s="30"/>
      <c r="FN131" s="30"/>
      <c r="FO131" s="30"/>
      <c r="FP131" s="30"/>
      <c r="FQ131" s="30"/>
      <c r="FR131" s="30"/>
      <c r="FS131" s="30"/>
      <c r="FT131" s="30"/>
      <c r="FU131" s="30"/>
      <c r="FV131" s="30"/>
      <c r="FW131" s="30"/>
      <c r="FX131" s="30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  <c r="AAA131" s="3"/>
      <c r="AAB131" s="3"/>
      <c r="AAC131" s="3"/>
      <c r="AAD131" s="3"/>
      <c r="AAE131" s="3"/>
      <c r="AAF131" s="3"/>
      <c r="AAG131" s="3"/>
      <c r="AAH131" s="3"/>
      <c r="AAI131" s="3"/>
      <c r="AAJ131" s="3"/>
      <c r="AAK131" s="3"/>
      <c r="AAL131" s="3"/>
      <c r="AAM131" s="3"/>
    </row>
    <row r="132" spans="1:715" s="2" customFormat="1" ht="50" customHeight="1">
      <c r="A132" s="8"/>
      <c r="B132" s="12"/>
      <c r="C132" s="8"/>
      <c r="D132" s="8"/>
      <c r="E132" s="8"/>
      <c r="F132" s="8"/>
      <c r="G132" s="5"/>
      <c r="H132" s="5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0"/>
      <c r="CL132" s="30"/>
      <c r="CM132" s="32"/>
      <c r="CN132" s="32"/>
      <c r="CO132" s="31"/>
      <c r="CP132" s="30"/>
      <c r="CQ132" s="32"/>
      <c r="CR132" s="32"/>
      <c r="CS132" s="31"/>
      <c r="CT132" s="30"/>
      <c r="CU132" s="32"/>
      <c r="CV132" s="32"/>
      <c r="CW132" s="31"/>
      <c r="CX132" s="30"/>
      <c r="CY132" s="32"/>
      <c r="CZ132" s="32"/>
      <c r="DA132" s="31"/>
      <c r="DB132" s="30"/>
      <c r="DC132" s="32"/>
      <c r="DD132" s="32"/>
      <c r="DE132" s="31"/>
      <c r="DF132" s="30"/>
      <c r="DG132" s="32"/>
      <c r="DH132" s="32"/>
      <c r="DI132" s="31"/>
      <c r="DJ132" s="30"/>
      <c r="DK132" s="32"/>
      <c r="DL132" s="32"/>
      <c r="DM132" s="31"/>
      <c r="DN132" s="30"/>
      <c r="DO132" s="32"/>
      <c r="DP132" s="32"/>
      <c r="DQ132" s="31"/>
      <c r="DR132" s="30"/>
      <c r="DS132" s="32"/>
      <c r="DT132" s="32"/>
      <c r="DU132" s="31"/>
      <c r="DV132" s="30"/>
      <c r="DW132" s="32"/>
      <c r="DX132" s="32"/>
      <c r="DY132" s="31"/>
      <c r="DZ132" s="30"/>
      <c r="EA132" s="32"/>
      <c r="EB132" s="32"/>
      <c r="EC132" s="31"/>
      <c r="ED132" s="30"/>
      <c r="EE132" s="32"/>
      <c r="EF132" s="32"/>
      <c r="EG132" s="31"/>
      <c r="EH132" s="30"/>
      <c r="EI132" s="32"/>
      <c r="EJ132" s="32"/>
      <c r="EK132" s="31"/>
      <c r="EL132" s="30"/>
      <c r="EM132" s="32"/>
      <c r="EN132" s="32"/>
      <c r="EO132" s="31"/>
      <c r="EP132" s="30"/>
      <c r="EQ132" s="32"/>
      <c r="ER132" s="32"/>
      <c r="ES132" s="31"/>
      <c r="ET132" s="30"/>
      <c r="EU132" s="32"/>
      <c r="EV132" s="32"/>
      <c r="EW132" s="31"/>
      <c r="EX132" s="30"/>
      <c r="EY132" s="32"/>
      <c r="EZ132" s="32"/>
      <c r="FA132" s="31"/>
      <c r="FB132" s="30"/>
      <c r="FC132" s="32"/>
      <c r="FD132" s="32"/>
      <c r="FE132" s="31"/>
      <c r="FF132" s="30"/>
      <c r="FG132" s="32"/>
      <c r="FH132" s="32"/>
      <c r="FI132" s="31"/>
      <c r="FJ132" s="30"/>
      <c r="FK132" s="32"/>
      <c r="FL132" s="32"/>
      <c r="FM132" s="31"/>
      <c r="FN132" s="30"/>
      <c r="FO132" s="30"/>
      <c r="FP132" s="30"/>
      <c r="FQ132" s="30"/>
      <c r="FR132" s="30"/>
      <c r="FS132" s="30"/>
      <c r="FT132" s="30"/>
      <c r="FU132" s="30"/>
      <c r="FV132" s="30"/>
      <c r="FW132" s="30"/>
      <c r="FX132" s="30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  <c r="AAA132" s="3"/>
      <c r="AAB132" s="3"/>
      <c r="AAC132" s="3"/>
      <c r="AAD132" s="3"/>
      <c r="AAE132" s="3"/>
      <c r="AAF132" s="3"/>
      <c r="AAG132" s="3"/>
      <c r="AAH132" s="3"/>
      <c r="AAI132" s="3"/>
      <c r="AAJ132" s="3"/>
      <c r="AAK132" s="3"/>
      <c r="AAL132" s="3"/>
      <c r="AAM132" s="3"/>
    </row>
    <row r="133" spans="1:715" s="2" customFormat="1" ht="50" customHeight="1">
      <c r="A133" s="8"/>
      <c r="B133" s="12"/>
      <c r="C133" s="8"/>
      <c r="D133" s="8"/>
      <c r="E133" s="8"/>
      <c r="F133" s="8"/>
      <c r="G133" s="5"/>
      <c r="H133" s="5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0"/>
      <c r="CL133" s="30"/>
      <c r="CM133" s="32"/>
      <c r="CN133" s="32"/>
      <c r="CO133" s="31"/>
      <c r="CP133" s="30"/>
      <c r="CQ133" s="32"/>
      <c r="CR133" s="32"/>
      <c r="CS133" s="31"/>
      <c r="CT133" s="30"/>
      <c r="CU133" s="32"/>
      <c r="CV133" s="32"/>
      <c r="CW133" s="31"/>
      <c r="CX133" s="30"/>
      <c r="CY133" s="32"/>
      <c r="CZ133" s="32"/>
      <c r="DA133" s="31"/>
      <c r="DB133" s="30"/>
      <c r="DC133" s="32"/>
      <c r="DD133" s="32"/>
      <c r="DE133" s="31"/>
      <c r="DF133" s="30"/>
      <c r="DG133" s="32"/>
      <c r="DH133" s="32"/>
      <c r="DI133" s="31"/>
      <c r="DJ133" s="30"/>
      <c r="DK133" s="32"/>
      <c r="DL133" s="32"/>
      <c r="DM133" s="31"/>
      <c r="DN133" s="30"/>
      <c r="DO133" s="32"/>
      <c r="DP133" s="32"/>
      <c r="DQ133" s="31"/>
      <c r="DR133" s="30"/>
      <c r="DS133" s="32"/>
      <c r="DT133" s="32"/>
      <c r="DU133" s="31"/>
      <c r="DV133" s="30"/>
      <c r="DW133" s="32"/>
      <c r="DX133" s="32"/>
      <c r="DY133" s="31"/>
      <c r="DZ133" s="30"/>
      <c r="EA133" s="32"/>
      <c r="EB133" s="32"/>
      <c r="EC133" s="31"/>
      <c r="ED133" s="30"/>
      <c r="EE133" s="32"/>
      <c r="EF133" s="32"/>
      <c r="EG133" s="31"/>
      <c r="EH133" s="30"/>
      <c r="EI133" s="32"/>
      <c r="EJ133" s="32"/>
      <c r="EK133" s="31"/>
      <c r="EL133" s="30"/>
      <c r="EM133" s="32"/>
      <c r="EN133" s="32"/>
      <c r="EO133" s="31"/>
      <c r="EP133" s="30"/>
      <c r="EQ133" s="32"/>
      <c r="ER133" s="32"/>
      <c r="ES133" s="31"/>
      <c r="ET133" s="30"/>
      <c r="EU133" s="32"/>
      <c r="EV133" s="32"/>
      <c r="EW133" s="31"/>
      <c r="EX133" s="30"/>
      <c r="EY133" s="32"/>
      <c r="EZ133" s="32"/>
      <c r="FA133" s="31"/>
      <c r="FB133" s="30"/>
      <c r="FC133" s="32"/>
      <c r="FD133" s="32"/>
      <c r="FE133" s="31"/>
      <c r="FF133" s="30"/>
      <c r="FG133" s="32"/>
      <c r="FH133" s="32"/>
      <c r="FI133" s="31"/>
      <c r="FJ133" s="30"/>
      <c r="FK133" s="32"/>
      <c r="FL133" s="32"/>
      <c r="FM133" s="31"/>
      <c r="FN133" s="30"/>
      <c r="FO133" s="30"/>
      <c r="FP133" s="30"/>
      <c r="FQ133" s="30"/>
      <c r="FR133" s="30"/>
      <c r="FS133" s="30"/>
      <c r="FT133" s="30"/>
      <c r="FU133" s="30"/>
      <c r="FV133" s="30"/>
      <c r="FW133" s="30"/>
      <c r="FX133" s="30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  <c r="AAA133" s="3"/>
      <c r="AAB133" s="3"/>
      <c r="AAC133" s="3"/>
      <c r="AAD133" s="3"/>
      <c r="AAE133" s="3"/>
      <c r="AAF133" s="3"/>
      <c r="AAG133" s="3"/>
      <c r="AAH133" s="3"/>
      <c r="AAI133" s="3"/>
      <c r="AAJ133" s="3"/>
      <c r="AAK133" s="3"/>
      <c r="AAL133" s="3"/>
      <c r="AAM133" s="3"/>
    </row>
    <row r="134" spans="1:715" s="2" customFormat="1" ht="50" customHeight="1">
      <c r="A134" s="8"/>
      <c r="B134" s="12"/>
      <c r="C134" s="8"/>
      <c r="D134" s="8"/>
      <c r="E134" s="8"/>
      <c r="F134" s="8"/>
      <c r="G134" s="5"/>
      <c r="H134" s="5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  <c r="DB134" s="30"/>
      <c r="DC134" s="30"/>
      <c r="DD134" s="30"/>
      <c r="DE134" s="30"/>
      <c r="DF134" s="30"/>
      <c r="DG134" s="30"/>
      <c r="DH134" s="30"/>
      <c r="DI134" s="30"/>
      <c r="DJ134" s="30"/>
      <c r="DK134" s="30"/>
      <c r="DL134" s="30"/>
      <c r="DM134" s="30"/>
      <c r="DN134" s="30"/>
      <c r="DO134" s="30"/>
      <c r="DP134" s="30"/>
      <c r="DQ134" s="30"/>
      <c r="DR134" s="30"/>
      <c r="DS134" s="30"/>
      <c r="DT134" s="30"/>
      <c r="DU134" s="30"/>
      <c r="DV134" s="30"/>
      <c r="DW134" s="30"/>
      <c r="DX134" s="30"/>
      <c r="DY134" s="30"/>
      <c r="DZ134" s="30"/>
      <c r="EA134" s="30"/>
      <c r="EB134" s="30"/>
      <c r="EC134" s="30"/>
      <c r="ED134" s="30"/>
      <c r="EE134" s="30"/>
      <c r="EF134" s="30"/>
      <c r="EG134" s="30"/>
      <c r="EH134" s="30"/>
      <c r="EI134" s="30"/>
      <c r="EJ134" s="30"/>
      <c r="EK134" s="30"/>
      <c r="EL134" s="30"/>
      <c r="EM134" s="30"/>
      <c r="EN134" s="30"/>
      <c r="EO134" s="30"/>
      <c r="EP134" s="30"/>
      <c r="EQ134" s="30"/>
      <c r="ER134" s="30"/>
      <c r="ES134" s="30"/>
      <c r="ET134" s="30"/>
      <c r="EU134" s="30"/>
      <c r="EV134" s="30"/>
      <c r="EW134" s="30"/>
      <c r="EX134" s="30"/>
      <c r="EY134" s="30"/>
      <c r="EZ134" s="30"/>
      <c r="FA134" s="30"/>
      <c r="FB134" s="30"/>
      <c r="FC134" s="30"/>
      <c r="FD134" s="30"/>
      <c r="FE134" s="30"/>
      <c r="FF134" s="30"/>
      <c r="FG134" s="30"/>
      <c r="FH134" s="30"/>
      <c r="FI134" s="30"/>
      <c r="FJ134" s="30"/>
      <c r="FK134" s="30"/>
      <c r="FL134" s="30"/>
      <c r="FM134" s="30"/>
      <c r="FN134" s="30"/>
      <c r="FO134" s="30"/>
      <c r="FP134" s="30"/>
      <c r="FQ134" s="30"/>
      <c r="FR134" s="30"/>
      <c r="FS134" s="30"/>
      <c r="FT134" s="30"/>
      <c r="FU134" s="30"/>
      <c r="FV134" s="30"/>
      <c r="FW134" s="30"/>
      <c r="FX134" s="30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  <c r="AAA134" s="3"/>
      <c r="AAB134" s="3"/>
      <c r="AAC134" s="3"/>
      <c r="AAD134" s="3"/>
      <c r="AAE134" s="3"/>
      <c r="AAF134" s="3"/>
      <c r="AAG134" s="3"/>
      <c r="AAH134" s="3"/>
      <c r="AAI134" s="3"/>
      <c r="AAJ134" s="3"/>
      <c r="AAK134" s="3"/>
      <c r="AAL134" s="3"/>
      <c r="AAM134" s="3"/>
    </row>
    <row r="135" spans="1:715" s="2" customFormat="1" ht="50" customHeight="1">
      <c r="A135" s="8"/>
      <c r="B135" s="12"/>
      <c r="C135" s="8"/>
      <c r="D135" s="8"/>
      <c r="E135" s="8"/>
      <c r="F135" s="8"/>
      <c r="G135" s="5"/>
      <c r="H135" s="5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0"/>
      <c r="CL135" s="33"/>
      <c r="CM135" s="33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  <c r="DB135" s="30"/>
      <c r="DC135" s="30"/>
      <c r="DD135" s="30"/>
      <c r="DE135" s="30"/>
      <c r="DF135" s="30"/>
      <c r="DG135" s="30"/>
      <c r="DH135" s="30"/>
      <c r="DI135" s="30"/>
      <c r="DJ135" s="30"/>
      <c r="DK135" s="30"/>
      <c r="DL135" s="30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/>
      <c r="DW135" s="30"/>
      <c r="DX135" s="30"/>
      <c r="DY135" s="30"/>
      <c r="DZ135" s="30"/>
      <c r="EA135" s="30"/>
      <c r="EB135" s="30"/>
      <c r="EC135" s="30"/>
      <c r="ED135" s="30"/>
      <c r="EE135" s="30"/>
      <c r="EF135" s="30"/>
      <c r="EG135" s="30"/>
      <c r="EH135" s="30"/>
      <c r="EI135" s="30"/>
      <c r="EJ135" s="30"/>
      <c r="EK135" s="30"/>
      <c r="EL135" s="30"/>
      <c r="EM135" s="30"/>
      <c r="EN135" s="30"/>
      <c r="EO135" s="30"/>
      <c r="EP135" s="30"/>
      <c r="EQ135" s="30"/>
      <c r="ER135" s="30"/>
      <c r="ES135" s="30"/>
      <c r="ET135" s="30"/>
      <c r="EU135" s="30"/>
      <c r="EV135" s="30"/>
      <c r="EW135" s="30"/>
      <c r="EX135" s="30"/>
      <c r="EY135" s="30"/>
      <c r="EZ135" s="30"/>
      <c r="FA135" s="30"/>
      <c r="FB135" s="30"/>
      <c r="FC135" s="30"/>
      <c r="FD135" s="30"/>
      <c r="FE135" s="30"/>
      <c r="FF135" s="30"/>
      <c r="FG135" s="30"/>
      <c r="FH135" s="30"/>
      <c r="FI135" s="30"/>
      <c r="FJ135" s="30"/>
      <c r="FK135" s="30"/>
      <c r="FL135" s="30"/>
      <c r="FM135" s="30"/>
      <c r="FN135" s="30"/>
      <c r="FO135" s="30"/>
      <c r="FP135" s="30"/>
      <c r="FQ135" s="30"/>
      <c r="FR135" s="30"/>
      <c r="FS135" s="30"/>
      <c r="FT135" s="30"/>
      <c r="FU135" s="30"/>
      <c r="FV135" s="30"/>
      <c r="FW135" s="30"/>
      <c r="FX135" s="30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  <c r="AAA135" s="3"/>
      <c r="AAB135" s="3"/>
      <c r="AAC135" s="3"/>
      <c r="AAD135" s="3"/>
      <c r="AAE135" s="3"/>
      <c r="AAF135" s="3"/>
      <c r="AAG135" s="3"/>
      <c r="AAH135" s="3"/>
      <c r="AAI135" s="3"/>
      <c r="AAJ135" s="3"/>
      <c r="AAK135" s="3"/>
      <c r="AAL135" s="3"/>
      <c r="AAM135" s="3"/>
    </row>
    <row r="136" spans="1:715" s="2" customFormat="1" ht="50" customHeight="1">
      <c r="A136" s="8"/>
      <c r="B136" s="12"/>
      <c r="C136" s="8"/>
      <c r="D136" s="8"/>
      <c r="E136" s="8"/>
      <c r="F136" s="8"/>
      <c r="G136" s="5"/>
      <c r="H136" s="5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0"/>
      <c r="CL136" s="30"/>
      <c r="CM136" s="32"/>
      <c r="CN136" s="32"/>
      <c r="CO136" s="31"/>
      <c r="CP136" s="30"/>
      <c r="CQ136" s="32"/>
      <c r="CR136" s="32"/>
      <c r="CS136" s="31"/>
      <c r="CT136" s="30"/>
      <c r="CU136" s="32"/>
      <c r="CV136" s="32"/>
      <c r="CW136" s="31"/>
      <c r="CX136" s="30"/>
      <c r="CY136" s="32"/>
      <c r="CZ136" s="32"/>
      <c r="DA136" s="31"/>
      <c r="DB136" s="30"/>
      <c r="DC136" s="32"/>
      <c r="DD136" s="32"/>
      <c r="DE136" s="31"/>
      <c r="DF136" s="30"/>
      <c r="DG136" s="32"/>
      <c r="DH136" s="32"/>
      <c r="DI136" s="31"/>
      <c r="DJ136" s="30"/>
      <c r="DK136" s="32"/>
      <c r="DL136" s="32"/>
      <c r="DM136" s="31"/>
      <c r="DN136" s="30"/>
      <c r="DO136" s="32"/>
      <c r="DP136" s="32"/>
      <c r="DQ136" s="31"/>
      <c r="DR136" s="30"/>
      <c r="DS136" s="32"/>
      <c r="DT136" s="32"/>
      <c r="DU136" s="31"/>
      <c r="DV136" s="30"/>
      <c r="DW136" s="32"/>
      <c r="DX136" s="32"/>
      <c r="DY136" s="31"/>
      <c r="DZ136" s="30"/>
      <c r="EA136" s="32"/>
      <c r="EB136" s="32"/>
      <c r="EC136" s="31"/>
      <c r="ED136" s="30"/>
      <c r="EE136" s="32"/>
      <c r="EF136" s="32"/>
      <c r="EG136" s="31"/>
      <c r="EH136" s="30"/>
      <c r="EI136" s="32"/>
      <c r="EJ136" s="32"/>
      <c r="EK136" s="31"/>
      <c r="EL136" s="30"/>
      <c r="EM136" s="32"/>
      <c r="EN136" s="32"/>
      <c r="EO136" s="31"/>
      <c r="EP136" s="30"/>
      <c r="EQ136" s="32"/>
      <c r="ER136" s="32"/>
      <c r="ES136" s="31"/>
      <c r="ET136" s="30"/>
      <c r="EU136" s="32"/>
      <c r="EV136" s="32"/>
      <c r="EW136" s="31"/>
      <c r="EX136" s="30"/>
      <c r="EY136" s="32"/>
      <c r="EZ136" s="32"/>
      <c r="FA136" s="31"/>
      <c r="FB136" s="30"/>
      <c r="FC136" s="32"/>
      <c r="FD136" s="32"/>
      <c r="FE136" s="31"/>
      <c r="FF136" s="30"/>
      <c r="FG136" s="32"/>
      <c r="FH136" s="32"/>
      <c r="FI136" s="31"/>
      <c r="FJ136" s="30"/>
      <c r="FK136" s="32"/>
      <c r="FL136" s="32"/>
      <c r="FM136" s="31"/>
      <c r="FN136" s="30"/>
      <c r="FO136" s="30"/>
      <c r="FP136" s="30"/>
      <c r="FQ136" s="30"/>
      <c r="FR136" s="30"/>
      <c r="FS136" s="30"/>
      <c r="FT136" s="30"/>
      <c r="FU136" s="30"/>
      <c r="FV136" s="30"/>
      <c r="FW136" s="30"/>
      <c r="FX136" s="30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  <c r="AAA136" s="3"/>
      <c r="AAB136" s="3"/>
      <c r="AAC136" s="3"/>
      <c r="AAD136" s="3"/>
      <c r="AAE136" s="3"/>
      <c r="AAF136" s="3"/>
      <c r="AAG136" s="3"/>
      <c r="AAH136" s="3"/>
      <c r="AAI136" s="3"/>
      <c r="AAJ136" s="3"/>
      <c r="AAK136" s="3"/>
      <c r="AAL136" s="3"/>
      <c r="AAM136" s="3"/>
    </row>
    <row r="137" spans="1:715" s="2" customFormat="1" ht="50" customHeight="1">
      <c r="A137" s="8"/>
      <c r="B137" s="12"/>
      <c r="C137" s="8"/>
      <c r="D137" s="8"/>
      <c r="E137" s="8"/>
      <c r="F137" s="8"/>
      <c r="G137" s="5"/>
      <c r="H137" s="5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0"/>
      <c r="CL137" s="30"/>
      <c r="CM137" s="32"/>
      <c r="CN137" s="32"/>
      <c r="CO137" s="31"/>
      <c r="CP137" s="30"/>
      <c r="CQ137" s="32"/>
      <c r="CR137" s="32"/>
      <c r="CS137" s="31"/>
      <c r="CT137" s="30"/>
      <c r="CU137" s="32"/>
      <c r="CV137" s="32"/>
      <c r="CW137" s="31"/>
      <c r="CX137" s="30"/>
      <c r="CY137" s="32"/>
      <c r="CZ137" s="32"/>
      <c r="DA137" s="31"/>
      <c r="DB137" s="30"/>
      <c r="DC137" s="32"/>
      <c r="DD137" s="32"/>
      <c r="DE137" s="31"/>
      <c r="DF137" s="30"/>
      <c r="DG137" s="32"/>
      <c r="DH137" s="32"/>
      <c r="DI137" s="31"/>
      <c r="DJ137" s="30"/>
      <c r="DK137" s="32"/>
      <c r="DL137" s="32"/>
      <c r="DM137" s="31"/>
      <c r="DN137" s="30"/>
      <c r="DO137" s="32"/>
      <c r="DP137" s="32"/>
      <c r="DQ137" s="31"/>
      <c r="DR137" s="30"/>
      <c r="DS137" s="32"/>
      <c r="DT137" s="32"/>
      <c r="DU137" s="31"/>
      <c r="DV137" s="30"/>
      <c r="DW137" s="32"/>
      <c r="DX137" s="32"/>
      <c r="DY137" s="31"/>
      <c r="DZ137" s="30"/>
      <c r="EA137" s="32"/>
      <c r="EB137" s="32"/>
      <c r="EC137" s="31"/>
      <c r="ED137" s="30"/>
      <c r="EE137" s="32"/>
      <c r="EF137" s="32"/>
      <c r="EG137" s="31"/>
      <c r="EH137" s="30"/>
      <c r="EI137" s="32"/>
      <c r="EJ137" s="32"/>
      <c r="EK137" s="31"/>
      <c r="EL137" s="30"/>
      <c r="EM137" s="32"/>
      <c r="EN137" s="32"/>
      <c r="EO137" s="31"/>
      <c r="EP137" s="30"/>
      <c r="EQ137" s="32"/>
      <c r="ER137" s="32"/>
      <c r="ES137" s="31"/>
      <c r="ET137" s="30"/>
      <c r="EU137" s="32"/>
      <c r="EV137" s="32"/>
      <c r="EW137" s="31"/>
      <c r="EX137" s="30"/>
      <c r="EY137" s="32"/>
      <c r="EZ137" s="32"/>
      <c r="FA137" s="31"/>
      <c r="FB137" s="30"/>
      <c r="FC137" s="32"/>
      <c r="FD137" s="32"/>
      <c r="FE137" s="31"/>
      <c r="FF137" s="30"/>
      <c r="FG137" s="32"/>
      <c r="FH137" s="32"/>
      <c r="FI137" s="31"/>
      <c r="FJ137" s="30"/>
      <c r="FK137" s="32"/>
      <c r="FL137" s="32"/>
      <c r="FM137" s="31"/>
      <c r="FN137" s="30"/>
      <c r="FO137" s="30"/>
      <c r="FP137" s="30"/>
      <c r="FQ137" s="30"/>
      <c r="FR137" s="30"/>
      <c r="FS137" s="30"/>
      <c r="FT137" s="30"/>
      <c r="FU137" s="30"/>
      <c r="FV137" s="30"/>
      <c r="FW137" s="30"/>
      <c r="FX137" s="30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  <c r="AAA137" s="3"/>
      <c r="AAB137" s="3"/>
      <c r="AAC137" s="3"/>
      <c r="AAD137" s="3"/>
      <c r="AAE137" s="3"/>
      <c r="AAF137" s="3"/>
      <c r="AAG137" s="3"/>
      <c r="AAH137" s="3"/>
      <c r="AAI137" s="3"/>
      <c r="AAJ137" s="3"/>
      <c r="AAK137" s="3"/>
      <c r="AAL137" s="3"/>
      <c r="AAM137" s="3"/>
    </row>
    <row r="138" spans="1:715" s="2" customFormat="1" ht="50" customHeight="1">
      <c r="A138" s="8"/>
      <c r="B138" s="12"/>
      <c r="C138" s="8"/>
      <c r="D138" s="8"/>
      <c r="E138" s="8"/>
      <c r="F138" s="8"/>
      <c r="G138" s="5"/>
      <c r="H138" s="5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  <c r="DB138" s="30"/>
      <c r="DC138" s="30"/>
      <c r="DD138" s="30"/>
      <c r="DE138" s="30"/>
      <c r="DF138" s="30"/>
      <c r="DG138" s="30"/>
      <c r="DH138" s="30"/>
      <c r="DI138" s="30"/>
      <c r="DJ138" s="30"/>
      <c r="DK138" s="30"/>
      <c r="DL138" s="30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/>
      <c r="DW138" s="30"/>
      <c r="DX138" s="30"/>
      <c r="DY138" s="30"/>
      <c r="DZ138" s="30"/>
      <c r="EA138" s="30"/>
      <c r="EB138" s="30"/>
      <c r="EC138" s="30"/>
      <c r="ED138" s="30"/>
      <c r="EE138" s="30"/>
      <c r="EF138" s="30"/>
      <c r="EG138" s="30"/>
      <c r="EH138" s="30"/>
      <c r="EI138" s="30"/>
      <c r="EJ138" s="30"/>
      <c r="EK138" s="30"/>
      <c r="EL138" s="30"/>
      <c r="EM138" s="30"/>
      <c r="EN138" s="30"/>
      <c r="EO138" s="30"/>
      <c r="EP138" s="30"/>
      <c r="EQ138" s="30"/>
      <c r="ER138" s="30"/>
      <c r="ES138" s="30"/>
      <c r="ET138" s="30"/>
      <c r="EU138" s="30"/>
      <c r="EV138" s="30"/>
      <c r="EW138" s="30"/>
      <c r="EX138" s="30"/>
      <c r="EY138" s="30"/>
      <c r="EZ138" s="30"/>
      <c r="FA138" s="30"/>
      <c r="FB138" s="30"/>
      <c r="FC138" s="30"/>
      <c r="FD138" s="30"/>
      <c r="FE138" s="30"/>
      <c r="FF138" s="30"/>
      <c r="FG138" s="30"/>
      <c r="FH138" s="30"/>
      <c r="FI138" s="30"/>
      <c r="FJ138" s="30"/>
      <c r="FK138" s="30"/>
      <c r="FL138" s="30"/>
      <c r="FM138" s="30"/>
      <c r="FN138" s="30"/>
      <c r="FO138" s="30"/>
      <c r="FP138" s="30"/>
      <c r="FQ138" s="30"/>
      <c r="FR138" s="30"/>
      <c r="FS138" s="30"/>
      <c r="FT138" s="30"/>
      <c r="FU138" s="30"/>
      <c r="FV138" s="30"/>
      <c r="FW138" s="30"/>
      <c r="FX138" s="30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  <c r="AAA138" s="3"/>
      <c r="AAB138" s="3"/>
      <c r="AAC138" s="3"/>
      <c r="AAD138" s="3"/>
      <c r="AAE138" s="3"/>
      <c r="AAF138" s="3"/>
      <c r="AAG138" s="3"/>
      <c r="AAH138" s="3"/>
      <c r="AAI138" s="3"/>
      <c r="AAJ138" s="3"/>
      <c r="AAK138" s="3"/>
      <c r="AAL138" s="3"/>
      <c r="AAM138" s="3"/>
    </row>
    <row r="139" spans="1:715" s="2" customFormat="1" ht="50" customHeight="1">
      <c r="A139" s="8"/>
      <c r="B139" s="12"/>
      <c r="C139" s="8"/>
      <c r="D139" s="8"/>
      <c r="E139" s="8"/>
      <c r="F139" s="8"/>
      <c r="G139" s="5"/>
      <c r="H139" s="5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0"/>
      <c r="CL139" s="33"/>
      <c r="CM139" s="33"/>
      <c r="CN139" s="30"/>
      <c r="CO139" s="30"/>
      <c r="CP139" s="30"/>
      <c r="CQ139" s="30"/>
      <c r="CR139" s="30"/>
      <c r="CS139" s="30"/>
      <c r="CT139" s="30"/>
      <c r="CU139" s="30"/>
      <c r="CV139" s="30"/>
      <c r="CW139" s="30"/>
      <c r="CX139" s="30"/>
      <c r="CY139" s="30"/>
      <c r="CZ139" s="30"/>
      <c r="DA139" s="30"/>
      <c r="DB139" s="30"/>
      <c r="DC139" s="30"/>
      <c r="DD139" s="30"/>
      <c r="DE139" s="30"/>
      <c r="DF139" s="30"/>
      <c r="DG139" s="30"/>
      <c r="DH139" s="30"/>
      <c r="DI139" s="30"/>
      <c r="DJ139" s="30"/>
      <c r="DK139" s="30"/>
      <c r="DL139" s="30"/>
      <c r="DM139" s="30"/>
      <c r="DN139" s="30"/>
      <c r="DO139" s="30"/>
      <c r="DP139" s="30"/>
      <c r="DQ139" s="30"/>
      <c r="DR139" s="30"/>
      <c r="DS139" s="30"/>
      <c r="DT139" s="30"/>
      <c r="DU139" s="30"/>
      <c r="DV139" s="30"/>
      <c r="DW139" s="30"/>
      <c r="DX139" s="30"/>
      <c r="DY139" s="30"/>
      <c r="DZ139" s="30"/>
      <c r="EA139" s="30"/>
      <c r="EB139" s="30"/>
      <c r="EC139" s="30"/>
      <c r="ED139" s="30"/>
      <c r="EE139" s="30"/>
      <c r="EF139" s="30"/>
      <c r="EG139" s="30"/>
      <c r="EH139" s="30"/>
      <c r="EI139" s="30"/>
      <c r="EJ139" s="30"/>
      <c r="EK139" s="30"/>
      <c r="EL139" s="30"/>
      <c r="EM139" s="30"/>
      <c r="EN139" s="30"/>
      <c r="EO139" s="30"/>
      <c r="EP139" s="30"/>
      <c r="EQ139" s="30"/>
      <c r="ER139" s="30"/>
      <c r="ES139" s="30"/>
      <c r="ET139" s="30"/>
      <c r="EU139" s="30"/>
      <c r="EV139" s="30"/>
      <c r="EW139" s="30"/>
      <c r="EX139" s="30"/>
      <c r="EY139" s="30"/>
      <c r="EZ139" s="30"/>
      <c r="FA139" s="30"/>
      <c r="FB139" s="30"/>
      <c r="FC139" s="30"/>
      <c r="FD139" s="30"/>
      <c r="FE139" s="30"/>
      <c r="FF139" s="30"/>
      <c r="FG139" s="30"/>
      <c r="FH139" s="30"/>
      <c r="FI139" s="30"/>
      <c r="FJ139" s="30"/>
      <c r="FK139" s="30"/>
      <c r="FL139" s="30"/>
      <c r="FM139" s="30"/>
      <c r="FN139" s="30"/>
      <c r="FO139" s="30"/>
      <c r="FP139" s="30"/>
      <c r="FQ139" s="30"/>
      <c r="FR139" s="30"/>
      <c r="FS139" s="30"/>
      <c r="FT139" s="30"/>
      <c r="FU139" s="30"/>
      <c r="FV139" s="30"/>
      <c r="FW139" s="30"/>
      <c r="FX139" s="30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  <c r="AAA139" s="3"/>
      <c r="AAB139" s="3"/>
      <c r="AAC139" s="3"/>
      <c r="AAD139" s="3"/>
      <c r="AAE139" s="3"/>
      <c r="AAF139" s="3"/>
      <c r="AAG139" s="3"/>
      <c r="AAH139" s="3"/>
      <c r="AAI139" s="3"/>
      <c r="AAJ139" s="3"/>
      <c r="AAK139" s="3"/>
      <c r="AAL139" s="3"/>
      <c r="AAM139" s="3"/>
    </row>
    <row r="140" spans="1:715" s="2" customFormat="1" ht="50" customHeight="1">
      <c r="A140" s="8"/>
      <c r="B140" s="12"/>
      <c r="C140" s="8"/>
      <c r="D140" s="8"/>
      <c r="E140" s="8"/>
      <c r="F140" s="8"/>
      <c r="G140" s="5"/>
      <c r="H140" s="5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0"/>
      <c r="CL140" s="30"/>
      <c r="CM140" s="32"/>
      <c r="CN140" s="32"/>
      <c r="CO140" s="31"/>
      <c r="CP140" s="30"/>
      <c r="CQ140" s="32"/>
      <c r="CR140" s="32"/>
      <c r="CS140" s="31"/>
      <c r="CT140" s="30"/>
      <c r="CU140" s="32"/>
      <c r="CV140" s="32"/>
      <c r="CW140" s="31"/>
      <c r="CX140" s="30"/>
      <c r="CY140" s="32"/>
      <c r="CZ140" s="32"/>
      <c r="DA140" s="31"/>
      <c r="DB140" s="30"/>
      <c r="DC140" s="32"/>
      <c r="DD140" s="32"/>
      <c r="DE140" s="31"/>
      <c r="DF140" s="30"/>
      <c r="DG140" s="32"/>
      <c r="DH140" s="32"/>
      <c r="DI140" s="31"/>
      <c r="DJ140" s="30"/>
      <c r="DK140" s="32"/>
      <c r="DL140" s="32"/>
      <c r="DM140" s="31"/>
      <c r="DN140" s="30"/>
      <c r="DO140" s="32"/>
      <c r="DP140" s="32"/>
      <c r="DQ140" s="31"/>
      <c r="DR140" s="30"/>
      <c r="DS140" s="32"/>
      <c r="DT140" s="32"/>
      <c r="DU140" s="31"/>
      <c r="DV140" s="30"/>
      <c r="DW140" s="32"/>
      <c r="DX140" s="32"/>
      <c r="DY140" s="31"/>
      <c r="DZ140" s="30"/>
      <c r="EA140" s="32"/>
      <c r="EB140" s="32"/>
      <c r="EC140" s="31"/>
      <c r="ED140" s="30"/>
      <c r="EE140" s="32"/>
      <c r="EF140" s="32"/>
      <c r="EG140" s="31"/>
      <c r="EH140" s="30"/>
      <c r="EI140" s="32"/>
      <c r="EJ140" s="32"/>
      <c r="EK140" s="31"/>
      <c r="EL140" s="30"/>
      <c r="EM140" s="32"/>
      <c r="EN140" s="32"/>
      <c r="EO140" s="31"/>
      <c r="EP140" s="30"/>
      <c r="EQ140" s="32"/>
      <c r="ER140" s="32"/>
      <c r="ES140" s="31"/>
      <c r="ET140" s="30"/>
      <c r="EU140" s="32"/>
      <c r="EV140" s="32"/>
      <c r="EW140" s="31"/>
      <c r="EX140" s="30"/>
      <c r="EY140" s="32"/>
      <c r="EZ140" s="32"/>
      <c r="FA140" s="31"/>
      <c r="FB140" s="30"/>
      <c r="FC140" s="32"/>
      <c r="FD140" s="32"/>
      <c r="FE140" s="31"/>
      <c r="FF140" s="30"/>
      <c r="FG140" s="32"/>
      <c r="FH140" s="32"/>
      <c r="FI140" s="31"/>
      <c r="FJ140" s="30"/>
      <c r="FK140" s="32"/>
      <c r="FL140" s="32"/>
      <c r="FM140" s="31"/>
      <c r="FN140" s="30"/>
      <c r="FO140" s="30"/>
      <c r="FP140" s="30"/>
      <c r="FQ140" s="30"/>
      <c r="FR140" s="30"/>
      <c r="FS140" s="30"/>
      <c r="FT140" s="30"/>
      <c r="FU140" s="30"/>
      <c r="FV140" s="30"/>
      <c r="FW140" s="30"/>
      <c r="FX140" s="30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  <c r="AAA140" s="3"/>
      <c r="AAB140" s="3"/>
      <c r="AAC140" s="3"/>
      <c r="AAD140" s="3"/>
      <c r="AAE140" s="3"/>
      <c r="AAF140" s="3"/>
      <c r="AAG140" s="3"/>
      <c r="AAH140" s="3"/>
      <c r="AAI140" s="3"/>
      <c r="AAJ140" s="3"/>
      <c r="AAK140" s="3"/>
      <c r="AAL140" s="3"/>
      <c r="AAM140" s="3"/>
    </row>
    <row r="141" spans="1:715" s="2" customFormat="1" ht="50" customHeight="1">
      <c r="A141" s="8"/>
      <c r="B141" s="12"/>
      <c r="C141" s="8"/>
      <c r="D141" s="8"/>
      <c r="E141" s="8"/>
      <c r="F141" s="8"/>
      <c r="G141" s="5"/>
      <c r="H141" s="5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0"/>
      <c r="CL141" s="30"/>
      <c r="CM141" s="32"/>
      <c r="CN141" s="32"/>
      <c r="CO141" s="31"/>
      <c r="CP141" s="30"/>
      <c r="CQ141" s="32"/>
      <c r="CR141" s="32"/>
      <c r="CS141" s="31"/>
      <c r="CT141" s="30"/>
      <c r="CU141" s="32"/>
      <c r="CV141" s="32"/>
      <c r="CW141" s="31"/>
      <c r="CX141" s="30"/>
      <c r="CY141" s="32"/>
      <c r="CZ141" s="32"/>
      <c r="DA141" s="31"/>
      <c r="DB141" s="30"/>
      <c r="DC141" s="32"/>
      <c r="DD141" s="32"/>
      <c r="DE141" s="31"/>
      <c r="DF141" s="30"/>
      <c r="DG141" s="32"/>
      <c r="DH141" s="32"/>
      <c r="DI141" s="31"/>
      <c r="DJ141" s="30"/>
      <c r="DK141" s="32"/>
      <c r="DL141" s="32"/>
      <c r="DM141" s="31"/>
      <c r="DN141" s="30"/>
      <c r="DO141" s="32"/>
      <c r="DP141" s="32"/>
      <c r="DQ141" s="31"/>
      <c r="DR141" s="30"/>
      <c r="DS141" s="32"/>
      <c r="DT141" s="32"/>
      <c r="DU141" s="31"/>
      <c r="DV141" s="30"/>
      <c r="DW141" s="32"/>
      <c r="DX141" s="32"/>
      <c r="DY141" s="31"/>
      <c r="DZ141" s="30"/>
      <c r="EA141" s="32"/>
      <c r="EB141" s="32"/>
      <c r="EC141" s="31"/>
      <c r="ED141" s="30"/>
      <c r="EE141" s="32"/>
      <c r="EF141" s="32"/>
      <c r="EG141" s="31"/>
      <c r="EH141" s="30"/>
      <c r="EI141" s="32"/>
      <c r="EJ141" s="32"/>
      <c r="EK141" s="31"/>
      <c r="EL141" s="30"/>
      <c r="EM141" s="32"/>
      <c r="EN141" s="32"/>
      <c r="EO141" s="31"/>
      <c r="EP141" s="30"/>
      <c r="EQ141" s="32"/>
      <c r="ER141" s="32"/>
      <c r="ES141" s="31"/>
      <c r="ET141" s="30"/>
      <c r="EU141" s="32"/>
      <c r="EV141" s="32"/>
      <c r="EW141" s="31"/>
      <c r="EX141" s="30"/>
      <c r="EY141" s="32"/>
      <c r="EZ141" s="32"/>
      <c r="FA141" s="31"/>
      <c r="FB141" s="30"/>
      <c r="FC141" s="32"/>
      <c r="FD141" s="32"/>
      <c r="FE141" s="31"/>
      <c r="FF141" s="30"/>
      <c r="FG141" s="32"/>
      <c r="FH141" s="32"/>
      <c r="FI141" s="31"/>
      <c r="FJ141" s="30"/>
      <c r="FK141" s="32"/>
      <c r="FL141" s="32"/>
      <c r="FM141" s="31"/>
      <c r="FN141" s="30"/>
      <c r="FO141" s="30"/>
      <c r="FP141" s="30"/>
      <c r="FQ141" s="30"/>
      <c r="FR141" s="30"/>
      <c r="FS141" s="30"/>
      <c r="FT141" s="30"/>
      <c r="FU141" s="30"/>
      <c r="FV141" s="30"/>
      <c r="FW141" s="30"/>
      <c r="FX141" s="30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  <c r="AAA141" s="3"/>
      <c r="AAB141" s="3"/>
      <c r="AAC141" s="3"/>
      <c r="AAD141" s="3"/>
      <c r="AAE141" s="3"/>
      <c r="AAF141" s="3"/>
      <c r="AAG141" s="3"/>
      <c r="AAH141" s="3"/>
      <c r="AAI141" s="3"/>
      <c r="AAJ141" s="3"/>
      <c r="AAK141" s="3"/>
      <c r="AAL141" s="3"/>
      <c r="AAM141" s="3"/>
    </row>
    <row r="142" spans="1:715" s="2" customFormat="1" ht="50" customHeight="1">
      <c r="A142" s="8"/>
      <c r="B142" s="12"/>
      <c r="C142" s="8"/>
      <c r="D142" s="8"/>
      <c r="E142" s="8"/>
      <c r="F142" s="8"/>
      <c r="G142" s="5"/>
      <c r="H142" s="5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  <c r="DB142" s="30"/>
      <c r="DC142" s="30"/>
      <c r="DD142" s="30"/>
      <c r="DE142" s="30"/>
      <c r="DF142" s="30"/>
      <c r="DG142" s="30"/>
      <c r="DH142" s="30"/>
      <c r="DI142" s="30"/>
      <c r="DJ142" s="30"/>
      <c r="DK142" s="30"/>
      <c r="DL142" s="30"/>
      <c r="DM142" s="30"/>
      <c r="DN142" s="30"/>
      <c r="DO142" s="30"/>
      <c r="DP142" s="30"/>
      <c r="DQ142" s="30"/>
      <c r="DR142" s="30"/>
      <c r="DS142" s="30"/>
      <c r="DT142" s="30"/>
      <c r="DU142" s="30"/>
      <c r="DV142" s="30"/>
      <c r="DW142" s="30"/>
      <c r="DX142" s="30"/>
      <c r="DY142" s="30"/>
      <c r="DZ142" s="30"/>
      <c r="EA142" s="30"/>
      <c r="EB142" s="30"/>
      <c r="EC142" s="30"/>
      <c r="ED142" s="30"/>
      <c r="EE142" s="30"/>
      <c r="EF142" s="30"/>
      <c r="EG142" s="30"/>
      <c r="EH142" s="30"/>
      <c r="EI142" s="30"/>
      <c r="EJ142" s="30"/>
      <c r="EK142" s="30"/>
      <c r="EL142" s="30"/>
      <c r="EM142" s="30"/>
      <c r="EN142" s="30"/>
      <c r="EO142" s="30"/>
      <c r="EP142" s="30"/>
      <c r="EQ142" s="30"/>
      <c r="ER142" s="30"/>
      <c r="ES142" s="30"/>
      <c r="ET142" s="30"/>
      <c r="EU142" s="30"/>
      <c r="EV142" s="30"/>
      <c r="EW142" s="30"/>
      <c r="EX142" s="30"/>
      <c r="EY142" s="30"/>
      <c r="EZ142" s="30"/>
      <c r="FA142" s="30"/>
      <c r="FB142" s="30"/>
      <c r="FC142" s="30"/>
      <c r="FD142" s="30"/>
      <c r="FE142" s="30"/>
      <c r="FF142" s="30"/>
      <c r="FG142" s="30"/>
      <c r="FH142" s="30"/>
      <c r="FI142" s="30"/>
      <c r="FJ142" s="30"/>
      <c r="FK142" s="30"/>
      <c r="FL142" s="30"/>
      <c r="FM142" s="30"/>
      <c r="FN142" s="30"/>
      <c r="FO142" s="30"/>
      <c r="FP142" s="30"/>
      <c r="FQ142" s="30"/>
      <c r="FR142" s="30"/>
      <c r="FS142" s="30"/>
      <c r="FT142" s="30"/>
      <c r="FU142" s="30"/>
      <c r="FV142" s="30"/>
      <c r="FW142" s="30"/>
      <c r="FX142" s="30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  <c r="AAA142" s="3"/>
      <c r="AAB142" s="3"/>
      <c r="AAC142" s="3"/>
      <c r="AAD142" s="3"/>
      <c r="AAE142" s="3"/>
      <c r="AAF142" s="3"/>
      <c r="AAG142" s="3"/>
      <c r="AAH142" s="3"/>
      <c r="AAI142" s="3"/>
      <c r="AAJ142" s="3"/>
      <c r="AAK142" s="3"/>
      <c r="AAL142" s="3"/>
      <c r="AAM142" s="3"/>
    </row>
    <row r="143" spans="1:715" s="2" customFormat="1" ht="50" customHeight="1">
      <c r="A143" s="8"/>
      <c r="B143" s="12"/>
      <c r="C143" s="8"/>
      <c r="D143" s="8"/>
      <c r="E143" s="8"/>
      <c r="F143" s="8"/>
      <c r="G143" s="5"/>
      <c r="H143" s="5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0"/>
      <c r="CL143" s="33"/>
      <c r="CM143" s="33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  <c r="DB143" s="30"/>
      <c r="DC143" s="30"/>
      <c r="DD143" s="3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30"/>
      <c r="DX143" s="3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  <c r="EM143" s="30"/>
      <c r="EN143" s="30"/>
      <c r="EO143" s="30"/>
      <c r="EP143" s="30"/>
      <c r="EQ143" s="30"/>
      <c r="ER143" s="30"/>
      <c r="ES143" s="30"/>
      <c r="ET143" s="30"/>
      <c r="EU143" s="30"/>
      <c r="EV143" s="30"/>
      <c r="EW143" s="30"/>
      <c r="EX143" s="30"/>
      <c r="EY143" s="30"/>
      <c r="EZ143" s="30"/>
      <c r="FA143" s="30"/>
      <c r="FB143" s="30"/>
      <c r="FC143" s="30"/>
      <c r="FD143" s="30"/>
      <c r="FE143" s="30"/>
      <c r="FF143" s="30"/>
      <c r="FG143" s="30"/>
      <c r="FH143" s="30"/>
      <c r="FI143" s="30"/>
      <c r="FJ143" s="30"/>
      <c r="FK143" s="30"/>
      <c r="FL143" s="30"/>
      <c r="FM143" s="30"/>
      <c r="FN143" s="30"/>
      <c r="FO143" s="30"/>
      <c r="FP143" s="30"/>
      <c r="FQ143" s="30"/>
      <c r="FR143" s="30"/>
      <c r="FS143" s="30"/>
      <c r="FT143" s="30"/>
      <c r="FU143" s="30"/>
      <c r="FV143" s="30"/>
      <c r="FW143" s="30"/>
      <c r="FX143" s="30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  <c r="AAA143" s="3"/>
      <c r="AAB143" s="3"/>
      <c r="AAC143" s="3"/>
      <c r="AAD143" s="3"/>
      <c r="AAE143" s="3"/>
      <c r="AAF143" s="3"/>
      <c r="AAG143" s="3"/>
      <c r="AAH143" s="3"/>
      <c r="AAI143" s="3"/>
      <c r="AAJ143" s="3"/>
      <c r="AAK143" s="3"/>
      <c r="AAL143" s="3"/>
      <c r="AAM143" s="3"/>
    </row>
    <row r="144" spans="1:715" s="2" customFormat="1" ht="50" customHeight="1">
      <c r="A144" s="8"/>
      <c r="B144" s="12"/>
      <c r="C144" s="8"/>
      <c r="D144" s="8"/>
      <c r="E144" s="8"/>
      <c r="F144" s="8"/>
      <c r="G144" s="5"/>
      <c r="H144" s="5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0"/>
      <c r="CL144" s="30"/>
      <c r="CM144" s="32"/>
      <c r="CN144" s="32"/>
      <c r="CO144" s="31"/>
      <c r="CP144" s="30"/>
      <c r="CQ144" s="32"/>
      <c r="CR144" s="32"/>
      <c r="CS144" s="31"/>
      <c r="CT144" s="30"/>
      <c r="CU144" s="32"/>
      <c r="CV144" s="32"/>
      <c r="CW144" s="31"/>
      <c r="CX144" s="30"/>
      <c r="CY144" s="32"/>
      <c r="CZ144" s="32"/>
      <c r="DA144" s="31"/>
      <c r="DB144" s="30"/>
      <c r="DC144" s="32"/>
      <c r="DD144" s="32"/>
      <c r="DE144" s="31"/>
      <c r="DF144" s="30"/>
      <c r="DG144" s="32"/>
      <c r="DH144" s="32"/>
      <c r="DI144" s="31"/>
      <c r="DJ144" s="30"/>
      <c r="DK144" s="32"/>
      <c r="DL144" s="32"/>
      <c r="DM144" s="31"/>
      <c r="DN144" s="30"/>
      <c r="DO144" s="32"/>
      <c r="DP144" s="32"/>
      <c r="DQ144" s="31"/>
      <c r="DR144" s="30"/>
      <c r="DS144" s="32"/>
      <c r="DT144" s="32"/>
      <c r="DU144" s="31"/>
      <c r="DV144" s="30"/>
      <c r="DW144" s="32"/>
      <c r="DX144" s="32"/>
      <c r="DY144" s="31"/>
      <c r="DZ144" s="30"/>
      <c r="EA144" s="32"/>
      <c r="EB144" s="32"/>
      <c r="EC144" s="31"/>
      <c r="ED144" s="30"/>
      <c r="EE144" s="32"/>
      <c r="EF144" s="32"/>
      <c r="EG144" s="31"/>
      <c r="EH144" s="30"/>
      <c r="EI144" s="32"/>
      <c r="EJ144" s="32"/>
      <c r="EK144" s="31"/>
      <c r="EL144" s="30"/>
      <c r="EM144" s="32"/>
      <c r="EN144" s="32"/>
      <c r="EO144" s="31"/>
      <c r="EP144" s="30"/>
      <c r="EQ144" s="32"/>
      <c r="ER144" s="32"/>
      <c r="ES144" s="31"/>
      <c r="ET144" s="30"/>
      <c r="EU144" s="32"/>
      <c r="EV144" s="32"/>
      <c r="EW144" s="31"/>
      <c r="EX144" s="30"/>
      <c r="EY144" s="32"/>
      <c r="EZ144" s="32"/>
      <c r="FA144" s="31"/>
      <c r="FB144" s="30"/>
      <c r="FC144" s="32"/>
      <c r="FD144" s="32"/>
      <c r="FE144" s="31"/>
      <c r="FF144" s="30"/>
      <c r="FG144" s="32"/>
      <c r="FH144" s="32"/>
      <c r="FI144" s="31"/>
      <c r="FJ144" s="30"/>
      <c r="FK144" s="32"/>
      <c r="FL144" s="32"/>
      <c r="FM144" s="31"/>
      <c r="FN144" s="30"/>
      <c r="FO144" s="30"/>
      <c r="FP144" s="30"/>
      <c r="FQ144" s="30"/>
      <c r="FR144" s="30"/>
      <c r="FS144" s="30"/>
      <c r="FT144" s="30"/>
      <c r="FU144" s="30"/>
      <c r="FV144" s="30"/>
      <c r="FW144" s="30"/>
      <c r="FX144" s="30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  <c r="AAA144" s="3"/>
      <c r="AAB144" s="3"/>
      <c r="AAC144" s="3"/>
      <c r="AAD144" s="3"/>
      <c r="AAE144" s="3"/>
      <c r="AAF144" s="3"/>
      <c r="AAG144" s="3"/>
      <c r="AAH144" s="3"/>
      <c r="AAI144" s="3"/>
      <c r="AAJ144" s="3"/>
      <c r="AAK144" s="3"/>
      <c r="AAL144" s="3"/>
      <c r="AAM144" s="3"/>
    </row>
    <row r="145" spans="1:715" s="2" customFormat="1" ht="50" customHeight="1">
      <c r="A145" s="8"/>
      <c r="B145" s="12"/>
      <c r="C145" s="8"/>
      <c r="D145" s="8"/>
      <c r="E145" s="8"/>
      <c r="F145" s="8"/>
      <c r="G145" s="5"/>
      <c r="H145" s="5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0"/>
      <c r="CL145" s="30"/>
      <c r="CM145" s="32"/>
      <c r="CN145" s="32"/>
      <c r="CO145" s="31"/>
      <c r="CP145" s="30"/>
      <c r="CQ145" s="32"/>
      <c r="CR145" s="32"/>
      <c r="CS145" s="31"/>
      <c r="CT145" s="30"/>
      <c r="CU145" s="32"/>
      <c r="CV145" s="32"/>
      <c r="CW145" s="31"/>
      <c r="CX145" s="30"/>
      <c r="CY145" s="32"/>
      <c r="CZ145" s="32"/>
      <c r="DA145" s="31"/>
      <c r="DB145" s="30"/>
      <c r="DC145" s="32"/>
      <c r="DD145" s="32"/>
      <c r="DE145" s="31"/>
      <c r="DF145" s="30"/>
      <c r="DG145" s="32"/>
      <c r="DH145" s="32"/>
      <c r="DI145" s="31"/>
      <c r="DJ145" s="30"/>
      <c r="DK145" s="32"/>
      <c r="DL145" s="32"/>
      <c r="DM145" s="31"/>
      <c r="DN145" s="30"/>
      <c r="DO145" s="32"/>
      <c r="DP145" s="32"/>
      <c r="DQ145" s="31"/>
      <c r="DR145" s="30"/>
      <c r="DS145" s="32"/>
      <c r="DT145" s="32"/>
      <c r="DU145" s="31"/>
      <c r="DV145" s="30"/>
      <c r="DW145" s="32"/>
      <c r="DX145" s="32"/>
      <c r="DY145" s="31"/>
      <c r="DZ145" s="30"/>
      <c r="EA145" s="32"/>
      <c r="EB145" s="32"/>
      <c r="EC145" s="31"/>
      <c r="ED145" s="30"/>
      <c r="EE145" s="32"/>
      <c r="EF145" s="32"/>
      <c r="EG145" s="31"/>
      <c r="EH145" s="30"/>
      <c r="EI145" s="32"/>
      <c r="EJ145" s="32"/>
      <c r="EK145" s="31"/>
      <c r="EL145" s="30"/>
      <c r="EM145" s="32"/>
      <c r="EN145" s="32"/>
      <c r="EO145" s="31"/>
      <c r="EP145" s="30"/>
      <c r="EQ145" s="32"/>
      <c r="ER145" s="32"/>
      <c r="ES145" s="31"/>
      <c r="ET145" s="30"/>
      <c r="EU145" s="32"/>
      <c r="EV145" s="32"/>
      <c r="EW145" s="31"/>
      <c r="EX145" s="30"/>
      <c r="EY145" s="32"/>
      <c r="EZ145" s="32"/>
      <c r="FA145" s="31"/>
      <c r="FB145" s="30"/>
      <c r="FC145" s="32"/>
      <c r="FD145" s="32"/>
      <c r="FE145" s="31"/>
      <c r="FF145" s="30"/>
      <c r="FG145" s="32"/>
      <c r="FH145" s="32"/>
      <c r="FI145" s="31"/>
      <c r="FJ145" s="30"/>
      <c r="FK145" s="32"/>
      <c r="FL145" s="32"/>
      <c r="FM145" s="31"/>
      <c r="FN145" s="30"/>
      <c r="FO145" s="30"/>
      <c r="FP145" s="30"/>
      <c r="FQ145" s="30"/>
      <c r="FR145" s="30"/>
      <c r="FS145" s="30"/>
      <c r="FT145" s="30"/>
      <c r="FU145" s="30"/>
      <c r="FV145" s="30"/>
      <c r="FW145" s="30"/>
      <c r="FX145" s="30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  <c r="AAA145" s="3"/>
      <c r="AAB145" s="3"/>
      <c r="AAC145" s="3"/>
      <c r="AAD145" s="3"/>
      <c r="AAE145" s="3"/>
      <c r="AAF145" s="3"/>
      <c r="AAG145" s="3"/>
      <c r="AAH145" s="3"/>
      <c r="AAI145" s="3"/>
      <c r="AAJ145" s="3"/>
      <c r="AAK145" s="3"/>
      <c r="AAL145" s="3"/>
      <c r="AAM145" s="3"/>
    </row>
    <row r="146" spans="1:715" s="2" customFormat="1" ht="50" customHeight="1">
      <c r="A146" s="8"/>
      <c r="B146" s="12"/>
      <c r="C146" s="8"/>
      <c r="D146" s="8"/>
      <c r="E146" s="8"/>
      <c r="F146" s="8"/>
      <c r="G146" s="5"/>
      <c r="H146" s="5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  <c r="DB146" s="30"/>
      <c r="DC146" s="30"/>
      <c r="DD146" s="3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30"/>
      <c r="DX146" s="3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  <c r="EM146" s="30"/>
      <c r="EN146" s="30"/>
      <c r="EO146" s="30"/>
      <c r="EP146" s="30"/>
      <c r="EQ146" s="30"/>
      <c r="ER146" s="30"/>
      <c r="ES146" s="30"/>
      <c r="ET146" s="30"/>
      <c r="EU146" s="30"/>
      <c r="EV146" s="30"/>
      <c r="EW146" s="30"/>
      <c r="EX146" s="30"/>
      <c r="EY146" s="30"/>
      <c r="EZ146" s="30"/>
      <c r="FA146" s="30"/>
      <c r="FB146" s="30"/>
      <c r="FC146" s="30"/>
      <c r="FD146" s="30"/>
      <c r="FE146" s="30"/>
      <c r="FF146" s="30"/>
      <c r="FG146" s="30"/>
      <c r="FH146" s="30"/>
      <c r="FI146" s="30"/>
      <c r="FJ146" s="30"/>
      <c r="FK146" s="30"/>
      <c r="FL146" s="30"/>
      <c r="FM146" s="30"/>
      <c r="FN146" s="30"/>
      <c r="FO146" s="30"/>
      <c r="FP146" s="30"/>
      <c r="FQ146" s="30"/>
      <c r="FR146" s="30"/>
      <c r="FS146" s="30"/>
      <c r="FT146" s="30"/>
      <c r="FU146" s="30"/>
      <c r="FV146" s="30"/>
      <c r="FW146" s="30"/>
      <c r="FX146" s="30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  <c r="AAA146" s="3"/>
      <c r="AAB146" s="3"/>
      <c r="AAC146" s="3"/>
      <c r="AAD146" s="3"/>
      <c r="AAE146" s="3"/>
      <c r="AAF146" s="3"/>
      <c r="AAG146" s="3"/>
      <c r="AAH146" s="3"/>
      <c r="AAI146" s="3"/>
      <c r="AAJ146" s="3"/>
      <c r="AAK146" s="3"/>
      <c r="AAL146" s="3"/>
      <c r="AAM146" s="3"/>
    </row>
    <row r="147" spans="1:715" s="2" customFormat="1" ht="50" customHeight="1">
      <c r="A147" s="8"/>
      <c r="B147" s="12"/>
      <c r="C147" s="8"/>
      <c r="D147" s="8"/>
      <c r="E147" s="8"/>
      <c r="F147" s="8"/>
      <c r="G147" s="5"/>
      <c r="H147" s="5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0"/>
      <c r="CL147" s="33"/>
      <c r="CM147" s="33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  <c r="DB147" s="30"/>
      <c r="DC147" s="30"/>
      <c r="DD147" s="3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30"/>
      <c r="DX147" s="3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  <c r="EM147" s="30"/>
      <c r="EN147" s="30"/>
      <c r="EO147" s="30"/>
      <c r="EP147" s="30"/>
      <c r="EQ147" s="30"/>
      <c r="ER147" s="30"/>
      <c r="ES147" s="30"/>
      <c r="ET147" s="30"/>
      <c r="EU147" s="30"/>
      <c r="EV147" s="30"/>
      <c r="EW147" s="30"/>
      <c r="EX147" s="30"/>
      <c r="EY147" s="30"/>
      <c r="EZ147" s="30"/>
      <c r="FA147" s="30"/>
      <c r="FB147" s="30"/>
      <c r="FC147" s="30"/>
      <c r="FD147" s="30"/>
      <c r="FE147" s="30"/>
      <c r="FF147" s="30"/>
      <c r="FG147" s="30"/>
      <c r="FH147" s="30"/>
      <c r="FI147" s="30"/>
      <c r="FJ147" s="30"/>
      <c r="FK147" s="30"/>
      <c r="FL147" s="30"/>
      <c r="FM147" s="30"/>
      <c r="FN147" s="30"/>
      <c r="FO147" s="30"/>
      <c r="FP147" s="30"/>
      <c r="FQ147" s="30"/>
      <c r="FR147" s="30"/>
      <c r="FS147" s="30"/>
      <c r="FT147" s="30"/>
      <c r="FU147" s="30"/>
      <c r="FV147" s="30"/>
      <c r="FW147" s="30"/>
      <c r="FX147" s="30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  <c r="AAA147" s="3"/>
      <c r="AAB147" s="3"/>
      <c r="AAC147" s="3"/>
      <c r="AAD147" s="3"/>
      <c r="AAE147" s="3"/>
      <c r="AAF147" s="3"/>
      <c r="AAG147" s="3"/>
      <c r="AAH147" s="3"/>
      <c r="AAI147" s="3"/>
      <c r="AAJ147" s="3"/>
      <c r="AAK147" s="3"/>
      <c r="AAL147" s="3"/>
      <c r="AAM147" s="3"/>
    </row>
    <row r="148" spans="1:715" s="2" customFormat="1" ht="50" customHeight="1">
      <c r="A148" s="8"/>
      <c r="B148" s="12"/>
      <c r="C148" s="8"/>
      <c r="D148" s="8"/>
      <c r="E148" s="8"/>
      <c r="F148" s="8"/>
      <c r="G148" s="5"/>
      <c r="H148" s="5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0"/>
      <c r="CL148" s="30"/>
      <c r="CM148" s="32"/>
      <c r="CN148" s="32"/>
      <c r="CO148" s="31"/>
      <c r="CP148" s="30"/>
      <c r="CQ148" s="32"/>
      <c r="CR148" s="32"/>
      <c r="CS148" s="31"/>
      <c r="CT148" s="30"/>
      <c r="CU148" s="32"/>
      <c r="CV148" s="32"/>
      <c r="CW148" s="31"/>
      <c r="CX148" s="30"/>
      <c r="CY148" s="32"/>
      <c r="CZ148" s="32"/>
      <c r="DA148" s="31"/>
      <c r="DB148" s="30"/>
      <c r="DC148" s="32"/>
      <c r="DD148" s="32"/>
      <c r="DE148" s="31"/>
      <c r="DF148" s="30"/>
      <c r="DG148" s="32"/>
      <c r="DH148" s="32"/>
      <c r="DI148" s="31"/>
      <c r="DJ148" s="30"/>
      <c r="DK148" s="32"/>
      <c r="DL148" s="32"/>
      <c r="DM148" s="31"/>
      <c r="DN148" s="30"/>
      <c r="DO148" s="32"/>
      <c r="DP148" s="32"/>
      <c r="DQ148" s="31"/>
      <c r="DR148" s="30"/>
      <c r="DS148" s="32"/>
      <c r="DT148" s="32"/>
      <c r="DU148" s="31"/>
      <c r="DV148" s="30"/>
      <c r="DW148" s="32"/>
      <c r="DX148" s="32"/>
      <c r="DY148" s="31"/>
      <c r="DZ148" s="30"/>
      <c r="EA148" s="32"/>
      <c r="EB148" s="32"/>
      <c r="EC148" s="31"/>
      <c r="ED148" s="30"/>
      <c r="EE148" s="32"/>
      <c r="EF148" s="32"/>
      <c r="EG148" s="31"/>
      <c r="EH148" s="30"/>
      <c r="EI148" s="32"/>
      <c r="EJ148" s="32"/>
      <c r="EK148" s="31"/>
      <c r="EL148" s="30"/>
      <c r="EM148" s="32"/>
      <c r="EN148" s="32"/>
      <c r="EO148" s="31"/>
      <c r="EP148" s="30"/>
      <c r="EQ148" s="32"/>
      <c r="ER148" s="32"/>
      <c r="ES148" s="31"/>
      <c r="ET148" s="30"/>
      <c r="EU148" s="32"/>
      <c r="EV148" s="32"/>
      <c r="EW148" s="31"/>
      <c r="EX148" s="30"/>
      <c r="EY148" s="32"/>
      <c r="EZ148" s="32"/>
      <c r="FA148" s="31"/>
      <c r="FB148" s="30"/>
      <c r="FC148" s="32"/>
      <c r="FD148" s="32"/>
      <c r="FE148" s="31"/>
      <c r="FF148" s="30"/>
      <c r="FG148" s="32"/>
      <c r="FH148" s="32"/>
      <c r="FI148" s="31"/>
      <c r="FJ148" s="30"/>
      <c r="FK148" s="32"/>
      <c r="FL148" s="32"/>
      <c r="FM148" s="31"/>
      <c r="FN148" s="30"/>
      <c r="FO148" s="30"/>
      <c r="FP148" s="30"/>
      <c r="FQ148" s="30"/>
      <c r="FR148" s="30"/>
      <c r="FS148" s="30"/>
      <c r="FT148" s="30"/>
      <c r="FU148" s="30"/>
      <c r="FV148" s="30"/>
      <c r="FW148" s="30"/>
      <c r="FX148" s="30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  <c r="AAA148" s="3"/>
      <c r="AAB148" s="3"/>
      <c r="AAC148" s="3"/>
      <c r="AAD148" s="3"/>
      <c r="AAE148" s="3"/>
      <c r="AAF148" s="3"/>
      <c r="AAG148" s="3"/>
      <c r="AAH148" s="3"/>
      <c r="AAI148" s="3"/>
      <c r="AAJ148" s="3"/>
      <c r="AAK148" s="3"/>
      <c r="AAL148" s="3"/>
      <c r="AAM148" s="3"/>
    </row>
    <row r="149" spans="1:715" s="2" customFormat="1" ht="50" customHeight="1">
      <c r="A149" s="8"/>
      <c r="B149" s="12"/>
      <c r="C149" s="8"/>
      <c r="D149" s="8"/>
      <c r="E149" s="8"/>
      <c r="F149" s="8"/>
      <c r="G149" s="5"/>
      <c r="H149" s="5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0"/>
      <c r="CL149" s="30"/>
      <c r="CM149" s="32"/>
      <c r="CN149" s="32"/>
      <c r="CO149" s="31"/>
      <c r="CP149" s="30"/>
      <c r="CQ149" s="32"/>
      <c r="CR149" s="32"/>
      <c r="CS149" s="31"/>
      <c r="CT149" s="30"/>
      <c r="CU149" s="32"/>
      <c r="CV149" s="32"/>
      <c r="CW149" s="31"/>
      <c r="CX149" s="30"/>
      <c r="CY149" s="32"/>
      <c r="CZ149" s="32"/>
      <c r="DA149" s="31"/>
      <c r="DB149" s="30"/>
      <c r="DC149" s="32"/>
      <c r="DD149" s="32"/>
      <c r="DE149" s="31"/>
      <c r="DF149" s="30"/>
      <c r="DG149" s="32"/>
      <c r="DH149" s="32"/>
      <c r="DI149" s="31"/>
      <c r="DJ149" s="30"/>
      <c r="DK149" s="32"/>
      <c r="DL149" s="32"/>
      <c r="DM149" s="31"/>
      <c r="DN149" s="30"/>
      <c r="DO149" s="32"/>
      <c r="DP149" s="32"/>
      <c r="DQ149" s="31"/>
      <c r="DR149" s="30"/>
      <c r="DS149" s="32"/>
      <c r="DT149" s="32"/>
      <c r="DU149" s="31"/>
      <c r="DV149" s="30"/>
      <c r="DW149" s="32"/>
      <c r="DX149" s="32"/>
      <c r="DY149" s="31"/>
      <c r="DZ149" s="30"/>
      <c r="EA149" s="32"/>
      <c r="EB149" s="32"/>
      <c r="EC149" s="31"/>
      <c r="ED149" s="30"/>
      <c r="EE149" s="32"/>
      <c r="EF149" s="32"/>
      <c r="EG149" s="31"/>
      <c r="EH149" s="30"/>
      <c r="EI149" s="32"/>
      <c r="EJ149" s="32"/>
      <c r="EK149" s="31"/>
      <c r="EL149" s="30"/>
      <c r="EM149" s="32"/>
      <c r="EN149" s="32"/>
      <c r="EO149" s="31"/>
      <c r="EP149" s="30"/>
      <c r="EQ149" s="32"/>
      <c r="ER149" s="32"/>
      <c r="ES149" s="31"/>
      <c r="ET149" s="30"/>
      <c r="EU149" s="32"/>
      <c r="EV149" s="32"/>
      <c r="EW149" s="31"/>
      <c r="EX149" s="30"/>
      <c r="EY149" s="32"/>
      <c r="EZ149" s="32"/>
      <c r="FA149" s="31"/>
      <c r="FB149" s="30"/>
      <c r="FC149" s="32"/>
      <c r="FD149" s="32"/>
      <c r="FE149" s="31"/>
      <c r="FF149" s="30"/>
      <c r="FG149" s="32"/>
      <c r="FH149" s="32"/>
      <c r="FI149" s="31"/>
      <c r="FJ149" s="30"/>
      <c r="FK149" s="32"/>
      <c r="FL149" s="32"/>
      <c r="FM149" s="31"/>
      <c r="FN149" s="30"/>
      <c r="FO149" s="30"/>
      <c r="FP149" s="30"/>
      <c r="FQ149" s="30"/>
      <c r="FR149" s="30"/>
      <c r="FS149" s="30"/>
      <c r="FT149" s="30"/>
      <c r="FU149" s="30"/>
      <c r="FV149" s="30"/>
      <c r="FW149" s="30"/>
      <c r="FX149" s="30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  <c r="AAA149" s="3"/>
      <c r="AAB149" s="3"/>
      <c r="AAC149" s="3"/>
      <c r="AAD149" s="3"/>
      <c r="AAE149" s="3"/>
      <c r="AAF149" s="3"/>
      <c r="AAG149" s="3"/>
      <c r="AAH149" s="3"/>
      <c r="AAI149" s="3"/>
      <c r="AAJ149" s="3"/>
      <c r="AAK149" s="3"/>
      <c r="AAL149" s="3"/>
      <c r="AAM149" s="3"/>
    </row>
    <row r="150" spans="1:715" s="2" customFormat="1" ht="50" customHeight="1">
      <c r="A150" s="8"/>
      <c r="B150" s="12"/>
      <c r="C150" s="8"/>
      <c r="D150" s="8"/>
      <c r="E150" s="8"/>
      <c r="F150" s="8"/>
      <c r="G150" s="5"/>
      <c r="H150" s="5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  <c r="DB150" s="30"/>
      <c r="DC150" s="30"/>
      <c r="DD150" s="3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30"/>
      <c r="DX150" s="30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0"/>
      <c r="EK150" s="30"/>
      <c r="EL150" s="30"/>
      <c r="EM150" s="30"/>
      <c r="EN150" s="30"/>
      <c r="EO150" s="30"/>
      <c r="EP150" s="30"/>
      <c r="EQ150" s="30"/>
      <c r="ER150" s="30"/>
      <c r="ES150" s="30"/>
      <c r="ET150" s="30"/>
      <c r="EU150" s="30"/>
      <c r="EV150" s="30"/>
      <c r="EW150" s="30"/>
      <c r="EX150" s="30"/>
      <c r="EY150" s="30"/>
      <c r="EZ150" s="30"/>
      <c r="FA150" s="30"/>
      <c r="FB150" s="30"/>
      <c r="FC150" s="30"/>
      <c r="FD150" s="30"/>
      <c r="FE150" s="30"/>
      <c r="FF150" s="30"/>
      <c r="FG150" s="30"/>
      <c r="FH150" s="30"/>
      <c r="FI150" s="30"/>
      <c r="FJ150" s="30"/>
      <c r="FK150" s="30"/>
      <c r="FL150" s="30"/>
      <c r="FM150" s="30"/>
      <c r="FN150" s="30"/>
      <c r="FO150" s="30"/>
      <c r="FP150" s="30"/>
      <c r="FQ150" s="30"/>
      <c r="FR150" s="30"/>
      <c r="FS150" s="30"/>
      <c r="FT150" s="30"/>
      <c r="FU150" s="30"/>
      <c r="FV150" s="30"/>
      <c r="FW150" s="30"/>
      <c r="FX150" s="30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  <c r="AAA150" s="3"/>
      <c r="AAB150" s="3"/>
      <c r="AAC150" s="3"/>
      <c r="AAD150" s="3"/>
      <c r="AAE150" s="3"/>
      <c r="AAF150" s="3"/>
      <c r="AAG150" s="3"/>
      <c r="AAH150" s="3"/>
      <c r="AAI150" s="3"/>
      <c r="AAJ150" s="3"/>
      <c r="AAK150" s="3"/>
      <c r="AAL150" s="3"/>
      <c r="AAM150" s="3"/>
    </row>
    <row r="151" spans="1:715" s="2" customFormat="1" ht="50" customHeight="1">
      <c r="A151" s="8"/>
      <c r="B151" s="12"/>
      <c r="C151" s="8"/>
      <c r="D151" s="8"/>
      <c r="E151" s="8"/>
      <c r="F151" s="8"/>
      <c r="G151" s="5"/>
      <c r="H151" s="5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0"/>
      <c r="CL151" s="33"/>
      <c r="CM151" s="33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  <c r="DB151" s="30"/>
      <c r="DC151" s="30"/>
      <c r="DD151" s="30"/>
      <c r="DE151" s="30"/>
      <c r="DF151" s="30"/>
      <c r="DG151" s="30"/>
      <c r="DH151" s="30"/>
      <c r="DI151" s="30"/>
      <c r="DJ151" s="30"/>
      <c r="DK151" s="30"/>
      <c r="DL151" s="30"/>
      <c r="DM151" s="30"/>
      <c r="DN151" s="30"/>
      <c r="DO151" s="30"/>
      <c r="DP151" s="30"/>
      <c r="DQ151" s="30"/>
      <c r="DR151" s="30"/>
      <c r="DS151" s="30"/>
      <c r="DT151" s="30"/>
      <c r="DU151" s="30"/>
      <c r="DV151" s="30"/>
      <c r="DW151" s="30"/>
      <c r="DX151" s="30"/>
      <c r="DY151" s="30"/>
      <c r="DZ151" s="30"/>
      <c r="EA151" s="30"/>
      <c r="EB151" s="30"/>
      <c r="EC151" s="30"/>
      <c r="ED151" s="30"/>
      <c r="EE151" s="30"/>
      <c r="EF151" s="30"/>
      <c r="EG151" s="30"/>
      <c r="EH151" s="30"/>
      <c r="EI151" s="30"/>
      <c r="EJ151" s="30"/>
      <c r="EK151" s="30"/>
      <c r="EL151" s="30"/>
      <c r="EM151" s="30"/>
      <c r="EN151" s="30"/>
      <c r="EO151" s="30"/>
      <c r="EP151" s="30"/>
      <c r="EQ151" s="30"/>
      <c r="ER151" s="30"/>
      <c r="ES151" s="30"/>
      <c r="ET151" s="30"/>
      <c r="EU151" s="30"/>
      <c r="EV151" s="30"/>
      <c r="EW151" s="30"/>
      <c r="EX151" s="30"/>
      <c r="EY151" s="30"/>
      <c r="EZ151" s="30"/>
      <c r="FA151" s="30"/>
      <c r="FB151" s="30"/>
      <c r="FC151" s="30"/>
      <c r="FD151" s="30"/>
      <c r="FE151" s="30"/>
      <c r="FF151" s="30"/>
      <c r="FG151" s="30"/>
      <c r="FH151" s="30"/>
      <c r="FI151" s="30"/>
      <c r="FJ151" s="30"/>
      <c r="FK151" s="30"/>
      <c r="FL151" s="30"/>
      <c r="FM151" s="30"/>
      <c r="FN151" s="30"/>
      <c r="FO151" s="30"/>
      <c r="FP151" s="30"/>
      <c r="FQ151" s="30"/>
      <c r="FR151" s="30"/>
      <c r="FS151" s="30"/>
      <c r="FT151" s="30"/>
      <c r="FU151" s="30"/>
      <c r="FV151" s="30"/>
      <c r="FW151" s="30"/>
      <c r="FX151" s="30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  <c r="AAA151" s="3"/>
      <c r="AAB151" s="3"/>
      <c r="AAC151" s="3"/>
      <c r="AAD151" s="3"/>
      <c r="AAE151" s="3"/>
      <c r="AAF151" s="3"/>
      <c r="AAG151" s="3"/>
      <c r="AAH151" s="3"/>
      <c r="AAI151" s="3"/>
      <c r="AAJ151" s="3"/>
      <c r="AAK151" s="3"/>
      <c r="AAL151" s="3"/>
      <c r="AAM151" s="3"/>
    </row>
    <row r="152" spans="1:715" s="2" customFormat="1" ht="50" customHeight="1">
      <c r="A152" s="8"/>
      <c r="B152" s="12"/>
      <c r="C152" s="8"/>
      <c r="D152" s="8"/>
      <c r="E152" s="8"/>
      <c r="F152" s="8"/>
      <c r="G152" s="5"/>
      <c r="H152" s="5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0"/>
      <c r="CL152" s="30"/>
      <c r="CM152" s="32"/>
      <c r="CN152" s="32"/>
      <c r="CO152" s="31"/>
      <c r="CP152" s="30"/>
      <c r="CQ152" s="32"/>
      <c r="CR152" s="32"/>
      <c r="CS152" s="31"/>
      <c r="CT152" s="30"/>
      <c r="CU152" s="32"/>
      <c r="CV152" s="32"/>
      <c r="CW152" s="31"/>
      <c r="CX152" s="30"/>
      <c r="CY152" s="32"/>
      <c r="CZ152" s="32"/>
      <c r="DA152" s="31"/>
      <c r="DB152" s="30"/>
      <c r="DC152" s="32"/>
      <c r="DD152" s="32"/>
      <c r="DE152" s="31"/>
      <c r="DF152" s="30"/>
      <c r="DG152" s="32"/>
      <c r="DH152" s="32"/>
      <c r="DI152" s="31"/>
      <c r="DJ152" s="30"/>
      <c r="DK152" s="32"/>
      <c r="DL152" s="32"/>
      <c r="DM152" s="31"/>
      <c r="DN152" s="30"/>
      <c r="DO152" s="32"/>
      <c r="DP152" s="32"/>
      <c r="DQ152" s="31"/>
      <c r="DR152" s="30"/>
      <c r="DS152" s="32"/>
      <c r="DT152" s="32"/>
      <c r="DU152" s="31"/>
      <c r="DV152" s="30"/>
      <c r="DW152" s="32"/>
      <c r="DX152" s="32"/>
      <c r="DY152" s="31"/>
      <c r="DZ152" s="30"/>
      <c r="EA152" s="32"/>
      <c r="EB152" s="32"/>
      <c r="EC152" s="31"/>
      <c r="ED152" s="30"/>
      <c r="EE152" s="32"/>
      <c r="EF152" s="32"/>
      <c r="EG152" s="31"/>
      <c r="EH152" s="30"/>
      <c r="EI152" s="32"/>
      <c r="EJ152" s="32"/>
      <c r="EK152" s="31"/>
      <c r="EL152" s="30"/>
      <c r="EM152" s="32"/>
      <c r="EN152" s="32"/>
      <c r="EO152" s="31"/>
      <c r="EP152" s="30"/>
      <c r="EQ152" s="32"/>
      <c r="ER152" s="32"/>
      <c r="ES152" s="31"/>
      <c r="ET152" s="30"/>
      <c r="EU152" s="32"/>
      <c r="EV152" s="32"/>
      <c r="EW152" s="31"/>
      <c r="EX152" s="30"/>
      <c r="EY152" s="32"/>
      <c r="EZ152" s="32"/>
      <c r="FA152" s="31"/>
      <c r="FB152" s="30"/>
      <c r="FC152" s="32"/>
      <c r="FD152" s="32"/>
      <c r="FE152" s="31"/>
      <c r="FF152" s="30"/>
      <c r="FG152" s="32"/>
      <c r="FH152" s="32"/>
      <c r="FI152" s="31"/>
      <c r="FJ152" s="30"/>
      <c r="FK152" s="32"/>
      <c r="FL152" s="32"/>
      <c r="FM152" s="31"/>
      <c r="FN152" s="30"/>
      <c r="FO152" s="30"/>
      <c r="FP152" s="30"/>
      <c r="FQ152" s="30"/>
      <c r="FR152" s="30"/>
      <c r="FS152" s="30"/>
      <c r="FT152" s="30"/>
      <c r="FU152" s="30"/>
      <c r="FV152" s="30"/>
      <c r="FW152" s="30"/>
      <c r="FX152" s="30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  <c r="AAA152" s="3"/>
      <c r="AAB152" s="3"/>
      <c r="AAC152" s="3"/>
      <c r="AAD152" s="3"/>
      <c r="AAE152" s="3"/>
      <c r="AAF152" s="3"/>
      <c r="AAG152" s="3"/>
      <c r="AAH152" s="3"/>
      <c r="AAI152" s="3"/>
      <c r="AAJ152" s="3"/>
      <c r="AAK152" s="3"/>
      <c r="AAL152" s="3"/>
      <c r="AAM152" s="3"/>
    </row>
    <row r="153" spans="1:715" s="2" customFormat="1" ht="50" customHeight="1">
      <c r="A153" s="8"/>
      <c r="B153" s="12"/>
      <c r="C153" s="8"/>
      <c r="D153" s="8"/>
      <c r="E153" s="8"/>
      <c r="F153" s="8"/>
      <c r="G153" s="5"/>
      <c r="H153" s="5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0"/>
      <c r="CL153" s="30"/>
      <c r="CM153" s="32"/>
      <c r="CN153" s="32"/>
      <c r="CO153" s="31"/>
      <c r="CP153" s="30"/>
      <c r="CQ153" s="32"/>
      <c r="CR153" s="32"/>
      <c r="CS153" s="31"/>
      <c r="CT153" s="30"/>
      <c r="CU153" s="32"/>
      <c r="CV153" s="32"/>
      <c r="CW153" s="31"/>
      <c r="CX153" s="30"/>
      <c r="CY153" s="32"/>
      <c r="CZ153" s="32"/>
      <c r="DA153" s="31"/>
      <c r="DB153" s="30"/>
      <c r="DC153" s="32"/>
      <c r="DD153" s="32"/>
      <c r="DE153" s="31"/>
      <c r="DF153" s="30"/>
      <c r="DG153" s="32"/>
      <c r="DH153" s="32"/>
      <c r="DI153" s="31"/>
      <c r="DJ153" s="30"/>
      <c r="DK153" s="32"/>
      <c r="DL153" s="32"/>
      <c r="DM153" s="31"/>
      <c r="DN153" s="30"/>
      <c r="DO153" s="32"/>
      <c r="DP153" s="32"/>
      <c r="DQ153" s="31"/>
      <c r="DR153" s="30"/>
      <c r="DS153" s="32"/>
      <c r="DT153" s="32"/>
      <c r="DU153" s="31"/>
      <c r="DV153" s="30"/>
      <c r="DW153" s="32"/>
      <c r="DX153" s="32"/>
      <c r="DY153" s="31"/>
      <c r="DZ153" s="30"/>
      <c r="EA153" s="32"/>
      <c r="EB153" s="32"/>
      <c r="EC153" s="31"/>
      <c r="ED153" s="30"/>
      <c r="EE153" s="32"/>
      <c r="EF153" s="32"/>
      <c r="EG153" s="31"/>
      <c r="EH153" s="30"/>
      <c r="EI153" s="32"/>
      <c r="EJ153" s="32"/>
      <c r="EK153" s="31"/>
      <c r="EL153" s="30"/>
      <c r="EM153" s="32"/>
      <c r="EN153" s="32"/>
      <c r="EO153" s="31"/>
      <c r="EP153" s="30"/>
      <c r="EQ153" s="32"/>
      <c r="ER153" s="32"/>
      <c r="ES153" s="31"/>
      <c r="ET153" s="30"/>
      <c r="EU153" s="32"/>
      <c r="EV153" s="32"/>
      <c r="EW153" s="31"/>
      <c r="EX153" s="30"/>
      <c r="EY153" s="32"/>
      <c r="EZ153" s="32"/>
      <c r="FA153" s="31"/>
      <c r="FB153" s="30"/>
      <c r="FC153" s="32"/>
      <c r="FD153" s="32"/>
      <c r="FE153" s="31"/>
      <c r="FF153" s="30"/>
      <c r="FG153" s="32"/>
      <c r="FH153" s="32"/>
      <c r="FI153" s="31"/>
      <c r="FJ153" s="30"/>
      <c r="FK153" s="32"/>
      <c r="FL153" s="32"/>
      <c r="FM153" s="31"/>
      <c r="FN153" s="30"/>
      <c r="FO153" s="30"/>
      <c r="FP153" s="30"/>
      <c r="FQ153" s="30"/>
      <c r="FR153" s="30"/>
      <c r="FS153" s="30"/>
      <c r="FT153" s="30"/>
      <c r="FU153" s="30"/>
      <c r="FV153" s="30"/>
      <c r="FW153" s="30"/>
      <c r="FX153" s="30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  <c r="AAA153" s="3"/>
      <c r="AAB153" s="3"/>
      <c r="AAC153" s="3"/>
      <c r="AAD153" s="3"/>
      <c r="AAE153" s="3"/>
      <c r="AAF153" s="3"/>
      <c r="AAG153" s="3"/>
      <c r="AAH153" s="3"/>
      <c r="AAI153" s="3"/>
      <c r="AAJ153" s="3"/>
      <c r="AAK153" s="3"/>
      <c r="AAL153" s="3"/>
      <c r="AAM153" s="3"/>
    </row>
    <row r="154" spans="1:715" s="2" customFormat="1" ht="50" customHeight="1">
      <c r="A154" s="8"/>
      <c r="B154" s="12"/>
      <c r="C154" s="8"/>
      <c r="D154" s="8"/>
      <c r="E154" s="8"/>
      <c r="F154" s="8"/>
      <c r="G154" s="5"/>
      <c r="H154" s="5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  <c r="DB154" s="30"/>
      <c r="DC154" s="30"/>
      <c r="DD154" s="30"/>
      <c r="DE154" s="30"/>
      <c r="DF154" s="30"/>
      <c r="DG154" s="30"/>
      <c r="DH154" s="30"/>
      <c r="DI154" s="30"/>
      <c r="DJ154" s="30"/>
      <c r="DK154" s="30"/>
      <c r="DL154" s="30"/>
      <c r="DM154" s="30"/>
      <c r="DN154" s="30"/>
      <c r="DO154" s="30"/>
      <c r="DP154" s="30"/>
      <c r="DQ154" s="30"/>
      <c r="DR154" s="30"/>
      <c r="DS154" s="30"/>
      <c r="DT154" s="30"/>
      <c r="DU154" s="30"/>
      <c r="DV154" s="30"/>
      <c r="DW154" s="30"/>
      <c r="DX154" s="30"/>
      <c r="DY154" s="30"/>
      <c r="DZ154" s="30"/>
      <c r="EA154" s="30"/>
      <c r="EB154" s="30"/>
      <c r="EC154" s="30"/>
      <c r="ED154" s="30"/>
      <c r="EE154" s="30"/>
      <c r="EF154" s="30"/>
      <c r="EG154" s="30"/>
      <c r="EH154" s="30"/>
      <c r="EI154" s="30"/>
      <c r="EJ154" s="30"/>
      <c r="EK154" s="30"/>
      <c r="EL154" s="30"/>
      <c r="EM154" s="30"/>
      <c r="EN154" s="30"/>
      <c r="EO154" s="30"/>
      <c r="EP154" s="30"/>
      <c r="EQ154" s="30"/>
      <c r="ER154" s="30"/>
      <c r="ES154" s="30"/>
      <c r="ET154" s="30"/>
      <c r="EU154" s="30"/>
      <c r="EV154" s="30"/>
      <c r="EW154" s="30"/>
      <c r="EX154" s="30"/>
      <c r="EY154" s="30"/>
      <c r="EZ154" s="30"/>
      <c r="FA154" s="30"/>
      <c r="FB154" s="30"/>
      <c r="FC154" s="30"/>
      <c r="FD154" s="30"/>
      <c r="FE154" s="30"/>
      <c r="FF154" s="30"/>
      <c r="FG154" s="30"/>
      <c r="FH154" s="30"/>
      <c r="FI154" s="30"/>
      <c r="FJ154" s="30"/>
      <c r="FK154" s="30"/>
      <c r="FL154" s="30"/>
      <c r="FM154" s="30"/>
      <c r="FN154" s="30"/>
      <c r="FO154" s="30"/>
      <c r="FP154" s="30"/>
      <c r="FQ154" s="30"/>
      <c r="FR154" s="30"/>
      <c r="FS154" s="30"/>
      <c r="FT154" s="30"/>
      <c r="FU154" s="30"/>
      <c r="FV154" s="30"/>
      <c r="FW154" s="30"/>
      <c r="FX154" s="30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  <c r="AAA154" s="3"/>
      <c r="AAB154" s="3"/>
      <c r="AAC154" s="3"/>
      <c r="AAD154" s="3"/>
      <c r="AAE154" s="3"/>
      <c r="AAF154" s="3"/>
      <c r="AAG154" s="3"/>
      <c r="AAH154" s="3"/>
      <c r="AAI154" s="3"/>
      <c r="AAJ154" s="3"/>
      <c r="AAK154" s="3"/>
      <c r="AAL154" s="3"/>
      <c r="AAM154" s="3"/>
    </row>
    <row r="155" spans="1:715" s="2" customFormat="1" ht="50" customHeight="1">
      <c r="A155" s="8"/>
      <c r="B155" s="12"/>
      <c r="C155" s="8"/>
      <c r="D155" s="8"/>
      <c r="E155" s="8"/>
      <c r="F155" s="8"/>
      <c r="G155" s="5"/>
      <c r="H155" s="5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0"/>
      <c r="CL155" s="33"/>
      <c r="CM155" s="33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  <c r="DB155" s="30"/>
      <c r="DC155" s="30"/>
      <c r="DD155" s="3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30"/>
      <c r="DX155" s="30"/>
      <c r="DY155" s="30"/>
      <c r="DZ155" s="30"/>
      <c r="EA155" s="30"/>
      <c r="EB155" s="30"/>
      <c r="EC155" s="30"/>
      <c r="ED155" s="30"/>
      <c r="EE155" s="30"/>
      <c r="EF155" s="30"/>
      <c r="EG155" s="30"/>
      <c r="EH155" s="30"/>
      <c r="EI155" s="30"/>
      <c r="EJ155" s="30"/>
      <c r="EK155" s="30"/>
      <c r="EL155" s="30"/>
      <c r="EM155" s="30"/>
      <c r="EN155" s="30"/>
      <c r="EO155" s="30"/>
      <c r="EP155" s="30"/>
      <c r="EQ155" s="30"/>
      <c r="ER155" s="30"/>
      <c r="ES155" s="30"/>
      <c r="ET155" s="30"/>
      <c r="EU155" s="30"/>
      <c r="EV155" s="30"/>
      <c r="EW155" s="30"/>
      <c r="EX155" s="30"/>
      <c r="EY155" s="30"/>
      <c r="EZ155" s="30"/>
      <c r="FA155" s="30"/>
      <c r="FB155" s="30"/>
      <c r="FC155" s="30"/>
      <c r="FD155" s="30"/>
      <c r="FE155" s="30"/>
      <c r="FF155" s="30"/>
      <c r="FG155" s="30"/>
      <c r="FH155" s="30"/>
      <c r="FI155" s="30"/>
      <c r="FJ155" s="30"/>
      <c r="FK155" s="30"/>
      <c r="FL155" s="30"/>
      <c r="FM155" s="30"/>
      <c r="FN155" s="30"/>
      <c r="FO155" s="30"/>
      <c r="FP155" s="30"/>
      <c r="FQ155" s="30"/>
      <c r="FR155" s="30"/>
      <c r="FS155" s="30"/>
      <c r="FT155" s="30"/>
      <c r="FU155" s="30"/>
      <c r="FV155" s="30"/>
      <c r="FW155" s="30"/>
      <c r="FX155" s="30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  <c r="AAA155" s="3"/>
      <c r="AAB155" s="3"/>
      <c r="AAC155" s="3"/>
      <c r="AAD155" s="3"/>
      <c r="AAE155" s="3"/>
      <c r="AAF155" s="3"/>
      <c r="AAG155" s="3"/>
      <c r="AAH155" s="3"/>
      <c r="AAI155" s="3"/>
      <c r="AAJ155" s="3"/>
      <c r="AAK155" s="3"/>
      <c r="AAL155" s="3"/>
      <c r="AAM155" s="3"/>
    </row>
    <row r="156" spans="1:715" s="2" customFormat="1" ht="50" customHeight="1">
      <c r="A156" s="8"/>
      <c r="B156" s="12"/>
      <c r="C156" s="8"/>
      <c r="D156" s="8"/>
      <c r="E156" s="8"/>
      <c r="F156" s="8"/>
      <c r="G156" s="5"/>
      <c r="H156" s="5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0"/>
      <c r="CL156" s="30"/>
      <c r="CM156" s="32"/>
      <c r="CN156" s="32"/>
      <c r="CO156" s="31"/>
      <c r="CP156" s="30"/>
      <c r="CQ156" s="32"/>
      <c r="CR156" s="32"/>
      <c r="CS156" s="31"/>
      <c r="CT156" s="30"/>
      <c r="CU156" s="32"/>
      <c r="CV156" s="32"/>
      <c r="CW156" s="31"/>
      <c r="CX156" s="30"/>
      <c r="CY156" s="32"/>
      <c r="CZ156" s="32"/>
      <c r="DA156" s="31"/>
      <c r="DB156" s="30"/>
      <c r="DC156" s="32"/>
      <c r="DD156" s="32"/>
      <c r="DE156" s="31"/>
      <c r="DF156" s="30"/>
      <c r="DG156" s="32"/>
      <c r="DH156" s="32"/>
      <c r="DI156" s="31"/>
      <c r="DJ156" s="30"/>
      <c r="DK156" s="32"/>
      <c r="DL156" s="32"/>
      <c r="DM156" s="31"/>
      <c r="DN156" s="30"/>
      <c r="DO156" s="32"/>
      <c r="DP156" s="32"/>
      <c r="DQ156" s="31"/>
      <c r="DR156" s="30"/>
      <c r="DS156" s="32"/>
      <c r="DT156" s="32"/>
      <c r="DU156" s="31"/>
      <c r="DV156" s="30"/>
      <c r="DW156" s="32"/>
      <c r="DX156" s="32"/>
      <c r="DY156" s="31"/>
      <c r="DZ156" s="30"/>
      <c r="EA156" s="32"/>
      <c r="EB156" s="32"/>
      <c r="EC156" s="31"/>
      <c r="ED156" s="30"/>
      <c r="EE156" s="32"/>
      <c r="EF156" s="32"/>
      <c r="EG156" s="31"/>
      <c r="EH156" s="30"/>
      <c r="EI156" s="32"/>
      <c r="EJ156" s="32"/>
      <c r="EK156" s="31"/>
      <c r="EL156" s="30"/>
      <c r="EM156" s="32"/>
      <c r="EN156" s="32"/>
      <c r="EO156" s="31"/>
      <c r="EP156" s="30"/>
      <c r="EQ156" s="32"/>
      <c r="ER156" s="32"/>
      <c r="ES156" s="31"/>
      <c r="ET156" s="30"/>
      <c r="EU156" s="32"/>
      <c r="EV156" s="32"/>
      <c r="EW156" s="31"/>
      <c r="EX156" s="30"/>
      <c r="EY156" s="32"/>
      <c r="EZ156" s="32"/>
      <c r="FA156" s="31"/>
      <c r="FB156" s="30"/>
      <c r="FC156" s="32"/>
      <c r="FD156" s="32"/>
      <c r="FE156" s="31"/>
      <c r="FF156" s="30"/>
      <c r="FG156" s="32"/>
      <c r="FH156" s="32"/>
      <c r="FI156" s="31"/>
      <c r="FJ156" s="30"/>
      <c r="FK156" s="32"/>
      <c r="FL156" s="32"/>
      <c r="FM156" s="31"/>
      <c r="FN156" s="30"/>
      <c r="FO156" s="30"/>
      <c r="FP156" s="30"/>
      <c r="FQ156" s="30"/>
      <c r="FR156" s="30"/>
      <c r="FS156" s="30"/>
      <c r="FT156" s="30"/>
      <c r="FU156" s="30"/>
      <c r="FV156" s="30"/>
      <c r="FW156" s="30"/>
      <c r="FX156" s="30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  <c r="AAA156" s="3"/>
      <c r="AAB156" s="3"/>
      <c r="AAC156" s="3"/>
      <c r="AAD156" s="3"/>
      <c r="AAE156" s="3"/>
      <c r="AAF156" s="3"/>
      <c r="AAG156" s="3"/>
      <c r="AAH156" s="3"/>
      <c r="AAI156" s="3"/>
      <c r="AAJ156" s="3"/>
      <c r="AAK156" s="3"/>
      <c r="AAL156" s="3"/>
      <c r="AAM156" s="3"/>
    </row>
    <row r="157" spans="1:715" s="2" customFormat="1" ht="50" customHeight="1">
      <c r="A157" s="8"/>
      <c r="B157" s="12"/>
      <c r="C157" s="8"/>
      <c r="D157" s="8"/>
      <c r="E157" s="8"/>
      <c r="F157" s="8"/>
      <c r="G157" s="5"/>
      <c r="H157" s="5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0"/>
      <c r="CL157" s="30"/>
      <c r="CM157" s="32"/>
      <c r="CN157" s="32"/>
      <c r="CO157" s="31"/>
      <c r="CP157" s="30"/>
      <c r="CQ157" s="32"/>
      <c r="CR157" s="32"/>
      <c r="CS157" s="31"/>
      <c r="CT157" s="30"/>
      <c r="CU157" s="32"/>
      <c r="CV157" s="32"/>
      <c r="CW157" s="31"/>
      <c r="CX157" s="30"/>
      <c r="CY157" s="32"/>
      <c r="CZ157" s="32"/>
      <c r="DA157" s="31"/>
      <c r="DB157" s="30"/>
      <c r="DC157" s="32"/>
      <c r="DD157" s="32"/>
      <c r="DE157" s="31"/>
      <c r="DF157" s="30"/>
      <c r="DG157" s="32"/>
      <c r="DH157" s="32"/>
      <c r="DI157" s="31"/>
      <c r="DJ157" s="30"/>
      <c r="DK157" s="32"/>
      <c r="DL157" s="32"/>
      <c r="DM157" s="31"/>
      <c r="DN157" s="30"/>
      <c r="DO157" s="32"/>
      <c r="DP157" s="32"/>
      <c r="DQ157" s="31"/>
      <c r="DR157" s="30"/>
      <c r="DS157" s="32"/>
      <c r="DT157" s="32"/>
      <c r="DU157" s="31"/>
      <c r="DV157" s="30"/>
      <c r="DW157" s="32"/>
      <c r="DX157" s="32"/>
      <c r="DY157" s="31"/>
      <c r="DZ157" s="30"/>
      <c r="EA157" s="32"/>
      <c r="EB157" s="32"/>
      <c r="EC157" s="31"/>
      <c r="ED157" s="30"/>
      <c r="EE157" s="32"/>
      <c r="EF157" s="32"/>
      <c r="EG157" s="31"/>
      <c r="EH157" s="30"/>
      <c r="EI157" s="32"/>
      <c r="EJ157" s="32"/>
      <c r="EK157" s="31"/>
      <c r="EL157" s="30"/>
      <c r="EM157" s="32"/>
      <c r="EN157" s="32"/>
      <c r="EO157" s="31"/>
      <c r="EP157" s="30"/>
      <c r="EQ157" s="32"/>
      <c r="ER157" s="32"/>
      <c r="ES157" s="31"/>
      <c r="ET157" s="30"/>
      <c r="EU157" s="32"/>
      <c r="EV157" s="32"/>
      <c r="EW157" s="31"/>
      <c r="EX157" s="30"/>
      <c r="EY157" s="32"/>
      <c r="EZ157" s="32"/>
      <c r="FA157" s="31"/>
      <c r="FB157" s="30"/>
      <c r="FC157" s="32"/>
      <c r="FD157" s="32"/>
      <c r="FE157" s="31"/>
      <c r="FF157" s="30"/>
      <c r="FG157" s="32"/>
      <c r="FH157" s="32"/>
      <c r="FI157" s="31"/>
      <c r="FJ157" s="30"/>
      <c r="FK157" s="32"/>
      <c r="FL157" s="32"/>
      <c r="FM157" s="31"/>
      <c r="FN157" s="30"/>
      <c r="FO157" s="30"/>
      <c r="FP157" s="30"/>
      <c r="FQ157" s="30"/>
      <c r="FR157" s="30"/>
      <c r="FS157" s="30"/>
      <c r="FT157" s="30"/>
      <c r="FU157" s="30"/>
      <c r="FV157" s="30"/>
      <c r="FW157" s="30"/>
      <c r="FX157" s="30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  <c r="AAA157" s="3"/>
      <c r="AAB157" s="3"/>
      <c r="AAC157" s="3"/>
      <c r="AAD157" s="3"/>
      <c r="AAE157" s="3"/>
      <c r="AAF157" s="3"/>
      <c r="AAG157" s="3"/>
      <c r="AAH157" s="3"/>
      <c r="AAI157" s="3"/>
      <c r="AAJ157" s="3"/>
      <c r="AAK157" s="3"/>
      <c r="AAL157" s="3"/>
      <c r="AAM157" s="3"/>
    </row>
    <row r="158" spans="1:715" s="2" customFormat="1" ht="50" customHeight="1">
      <c r="A158" s="8"/>
      <c r="B158" s="12"/>
      <c r="C158" s="8"/>
      <c r="D158" s="8"/>
      <c r="E158" s="8"/>
      <c r="F158" s="8"/>
      <c r="G158" s="5"/>
      <c r="H158" s="5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  <c r="DB158" s="30"/>
      <c r="DC158" s="30"/>
      <c r="DD158" s="3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30"/>
      <c r="DX158" s="30"/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V158" s="30"/>
      <c r="EW158" s="30"/>
      <c r="EX158" s="30"/>
      <c r="EY158" s="30"/>
      <c r="EZ158" s="30"/>
      <c r="FA158" s="30"/>
      <c r="FB158" s="30"/>
      <c r="FC158" s="30"/>
      <c r="FD158" s="30"/>
      <c r="FE158" s="30"/>
      <c r="FF158" s="30"/>
      <c r="FG158" s="30"/>
      <c r="FH158" s="30"/>
      <c r="FI158" s="30"/>
      <c r="FJ158" s="30"/>
      <c r="FK158" s="30"/>
      <c r="FL158" s="30"/>
      <c r="FM158" s="30"/>
      <c r="FN158" s="30"/>
      <c r="FO158" s="30"/>
      <c r="FP158" s="30"/>
      <c r="FQ158" s="30"/>
      <c r="FR158" s="30"/>
      <c r="FS158" s="30"/>
      <c r="FT158" s="30"/>
      <c r="FU158" s="30"/>
      <c r="FV158" s="30"/>
      <c r="FW158" s="30"/>
      <c r="FX158" s="30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  <c r="AAA158" s="3"/>
      <c r="AAB158" s="3"/>
      <c r="AAC158" s="3"/>
      <c r="AAD158" s="3"/>
      <c r="AAE158" s="3"/>
      <c r="AAF158" s="3"/>
      <c r="AAG158" s="3"/>
      <c r="AAH158" s="3"/>
      <c r="AAI158" s="3"/>
      <c r="AAJ158" s="3"/>
      <c r="AAK158" s="3"/>
      <c r="AAL158" s="3"/>
      <c r="AAM158" s="3"/>
    </row>
    <row r="159" spans="1:715" s="2" customFormat="1" ht="50" customHeight="1">
      <c r="A159" s="8"/>
      <c r="B159" s="12"/>
      <c r="C159" s="8"/>
      <c r="D159" s="8"/>
      <c r="E159" s="8"/>
      <c r="F159" s="8"/>
      <c r="G159" s="5"/>
      <c r="H159" s="5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  <c r="DB159" s="30"/>
      <c r="DC159" s="30"/>
      <c r="DD159" s="3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30"/>
      <c r="DX159" s="30"/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  <c r="FA159" s="30"/>
      <c r="FB159" s="30"/>
      <c r="FC159" s="30"/>
      <c r="FD159" s="30"/>
      <c r="FE159" s="30"/>
      <c r="FF159" s="30"/>
      <c r="FG159" s="30"/>
      <c r="FH159" s="30"/>
      <c r="FI159" s="30"/>
      <c r="FJ159" s="30"/>
      <c r="FK159" s="30"/>
      <c r="FL159" s="30"/>
      <c r="FM159" s="30"/>
      <c r="FN159" s="30"/>
      <c r="FO159" s="30"/>
      <c r="FP159" s="30"/>
      <c r="FQ159" s="30"/>
      <c r="FR159" s="30"/>
      <c r="FS159" s="30"/>
      <c r="FT159" s="30"/>
      <c r="FU159" s="30"/>
      <c r="FV159" s="30"/>
      <c r="FW159" s="30"/>
      <c r="FX159" s="30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  <c r="AAA159" s="3"/>
      <c r="AAB159" s="3"/>
      <c r="AAC159" s="3"/>
      <c r="AAD159" s="3"/>
      <c r="AAE159" s="3"/>
      <c r="AAF159" s="3"/>
      <c r="AAG159" s="3"/>
      <c r="AAH159" s="3"/>
      <c r="AAI159" s="3"/>
      <c r="AAJ159" s="3"/>
      <c r="AAK159" s="3"/>
      <c r="AAL159" s="3"/>
      <c r="AAM159" s="3"/>
    </row>
    <row r="160" spans="1:715" s="2" customFormat="1" ht="50" customHeight="1">
      <c r="A160" s="8"/>
      <c r="B160" s="12"/>
      <c r="C160" s="8"/>
      <c r="D160" s="8"/>
      <c r="E160" s="8"/>
      <c r="F160" s="8"/>
      <c r="G160" s="5"/>
      <c r="H160" s="5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  <c r="DB160" s="30"/>
      <c r="DC160" s="30"/>
      <c r="DD160" s="30"/>
      <c r="DE160" s="30"/>
      <c r="DF160" s="30"/>
      <c r="DG160" s="30"/>
      <c r="DH160" s="30"/>
      <c r="DI160" s="30"/>
      <c r="DJ160" s="30"/>
      <c r="DK160" s="30"/>
      <c r="DL160" s="30"/>
      <c r="DM160" s="30"/>
      <c r="DN160" s="30"/>
      <c r="DO160" s="30"/>
      <c r="DP160" s="30"/>
      <c r="DQ160" s="30"/>
      <c r="DR160" s="30"/>
      <c r="DS160" s="30"/>
      <c r="DT160" s="30"/>
      <c r="DU160" s="30"/>
      <c r="DV160" s="30"/>
      <c r="DW160" s="30"/>
      <c r="DX160" s="30"/>
      <c r="DY160" s="30"/>
      <c r="DZ160" s="30"/>
      <c r="EA160" s="30"/>
      <c r="EB160" s="30"/>
      <c r="EC160" s="30"/>
      <c r="ED160" s="30"/>
      <c r="EE160" s="30"/>
      <c r="EF160" s="30"/>
      <c r="EG160" s="30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V160" s="30"/>
      <c r="EW160" s="30"/>
      <c r="EX160" s="30"/>
      <c r="EY160" s="30"/>
      <c r="EZ160" s="30"/>
      <c r="FA160" s="30"/>
      <c r="FB160" s="30"/>
      <c r="FC160" s="30"/>
      <c r="FD160" s="30"/>
      <c r="FE160" s="30"/>
      <c r="FF160" s="30"/>
      <c r="FG160" s="30"/>
      <c r="FH160" s="30"/>
      <c r="FI160" s="30"/>
      <c r="FJ160" s="30"/>
      <c r="FK160" s="30"/>
      <c r="FL160" s="30"/>
      <c r="FM160" s="30"/>
      <c r="FN160" s="30"/>
      <c r="FO160" s="30"/>
      <c r="FP160" s="30"/>
      <c r="FQ160" s="30"/>
      <c r="FR160" s="30"/>
      <c r="FS160" s="30"/>
      <c r="FT160" s="30"/>
      <c r="FU160" s="30"/>
      <c r="FV160" s="30"/>
      <c r="FW160" s="30"/>
      <c r="FX160" s="30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  <c r="AAA160" s="3"/>
      <c r="AAB160" s="3"/>
      <c r="AAC160" s="3"/>
      <c r="AAD160" s="3"/>
      <c r="AAE160" s="3"/>
      <c r="AAF160" s="3"/>
      <c r="AAG160" s="3"/>
      <c r="AAH160" s="3"/>
      <c r="AAI160" s="3"/>
      <c r="AAJ160" s="3"/>
      <c r="AAK160" s="3"/>
      <c r="AAL160" s="3"/>
      <c r="AAM160" s="3"/>
    </row>
    <row r="161" spans="1:715" s="2" customFormat="1" ht="50" customHeight="1">
      <c r="A161" s="8"/>
      <c r="B161" s="12"/>
      <c r="C161" s="8"/>
      <c r="D161" s="8"/>
      <c r="E161" s="8"/>
      <c r="F161" s="8"/>
      <c r="G161" s="5"/>
      <c r="H161" s="5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  <c r="DB161" s="30"/>
      <c r="DC161" s="30"/>
      <c r="DD161" s="30"/>
      <c r="DE161" s="30"/>
      <c r="DF161" s="30"/>
      <c r="DG161" s="30"/>
      <c r="DH161" s="30"/>
      <c r="DI161" s="30"/>
      <c r="DJ161" s="30"/>
      <c r="DK161" s="30"/>
      <c r="DL161" s="30"/>
      <c r="DM161" s="30"/>
      <c r="DN161" s="30"/>
      <c r="DO161" s="30"/>
      <c r="DP161" s="30"/>
      <c r="DQ161" s="30"/>
      <c r="DR161" s="30"/>
      <c r="DS161" s="30"/>
      <c r="DT161" s="30"/>
      <c r="DU161" s="30"/>
      <c r="DV161" s="30"/>
      <c r="DW161" s="30"/>
      <c r="DX161" s="30"/>
      <c r="DY161" s="30"/>
      <c r="DZ161" s="30"/>
      <c r="EA161" s="30"/>
      <c r="EB161" s="30"/>
      <c r="EC161" s="30"/>
      <c r="ED161" s="30"/>
      <c r="EE161" s="30"/>
      <c r="EF161" s="30"/>
      <c r="EG161" s="30"/>
      <c r="EH161" s="30"/>
      <c r="EI161" s="30"/>
      <c r="EJ161" s="30"/>
      <c r="EK161" s="30"/>
      <c r="EL161" s="30"/>
      <c r="EM161" s="30"/>
      <c r="EN161" s="30"/>
      <c r="EO161" s="30"/>
      <c r="EP161" s="30"/>
      <c r="EQ161" s="30"/>
      <c r="ER161" s="30"/>
      <c r="ES161" s="30"/>
      <c r="ET161" s="30"/>
      <c r="EU161" s="30"/>
      <c r="EV161" s="30"/>
      <c r="EW161" s="30"/>
      <c r="EX161" s="30"/>
      <c r="EY161" s="30"/>
      <c r="EZ161" s="30"/>
      <c r="FA161" s="30"/>
      <c r="FB161" s="30"/>
      <c r="FC161" s="30"/>
      <c r="FD161" s="30"/>
      <c r="FE161" s="30"/>
      <c r="FF161" s="30"/>
      <c r="FG161" s="30"/>
      <c r="FH161" s="30"/>
      <c r="FI161" s="30"/>
      <c r="FJ161" s="30"/>
      <c r="FK161" s="30"/>
      <c r="FL161" s="30"/>
      <c r="FM161" s="30"/>
      <c r="FN161" s="30"/>
      <c r="FO161" s="30"/>
      <c r="FP161" s="30"/>
      <c r="FQ161" s="30"/>
      <c r="FR161" s="30"/>
      <c r="FS161" s="30"/>
      <c r="FT161" s="30"/>
      <c r="FU161" s="30"/>
      <c r="FV161" s="30"/>
      <c r="FW161" s="30"/>
      <c r="FX161" s="30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  <c r="AAA161" s="3"/>
      <c r="AAB161" s="3"/>
      <c r="AAC161" s="3"/>
      <c r="AAD161" s="3"/>
      <c r="AAE161" s="3"/>
      <c r="AAF161" s="3"/>
      <c r="AAG161" s="3"/>
      <c r="AAH161" s="3"/>
      <c r="AAI161" s="3"/>
      <c r="AAJ161" s="3"/>
      <c r="AAK161" s="3"/>
      <c r="AAL161" s="3"/>
      <c r="AAM161" s="3"/>
    </row>
    <row r="162" spans="1:715" s="2" customFormat="1" ht="50" customHeight="1">
      <c r="A162" s="8"/>
      <c r="B162" s="12"/>
      <c r="C162" s="8"/>
      <c r="D162" s="8"/>
      <c r="E162" s="8"/>
      <c r="F162" s="8"/>
      <c r="G162" s="5"/>
      <c r="H162" s="5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  <c r="DB162" s="30"/>
      <c r="DC162" s="30"/>
      <c r="DD162" s="30"/>
      <c r="DE162" s="30"/>
      <c r="DF162" s="30"/>
      <c r="DG162" s="30"/>
      <c r="DH162" s="30"/>
      <c r="DI162" s="30"/>
      <c r="DJ162" s="30"/>
      <c r="DK162" s="30"/>
      <c r="DL162" s="30"/>
      <c r="DM162" s="30"/>
      <c r="DN162" s="30"/>
      <c r="DO162" s="30"/>
      <c r="DP162" s="30"/>
      <c r="DQ162" s="30"/>
      <c r="DR162" s="30"/>
      <c r="DS162" s="30"/>
      <c r="DT162" s="30"/>
      <c r="DU162" s="30"/>
      <c r="DV162" s="30"/>
      <c r="DW162" s="30"/>
      <c r="DX162" s="30"/>
      <c r="DY162" s="30"/>
      <c r="DZ162" s="30"/>
      <c r="EA162" s="30"/>
      <c r="EB162" s="30"/>
      <c r="EC162" s="30"/>
      <c r="ED162" s="30"/>
      <c r="EE162" s="30"/>
      <c r="EF162" s="30"/>
      <c r="EG162" s="30"/>
      <c r="EH162" s="30"/>
      <c r="EI162" s="30"/>
      <c r="EJ162" s="30"/>
      <c r="EK162" s="30"/>
      <c r="EL162" s="30"/>
      <c r="EM162" s="30"/>
      <c r="EN162" s="30"/>
      <c r="EO162" s="30"/>
      <c r="EP162" s="30"/>
      <c r="EQ162" s="30"/>
      <c r="ER162" s="30"/>
      <c r="ES162" s="30"/>
      <c r="ET162" s="30"/>
      <c r="EU162" s="30"/>
      <c r="EV162" s="30"/>
      <c r="EW162" s="30"/>
      <c r="EX162" s="30"/>
      <c r="EY162" s="30"/>
      <c r="EZ162" s="30"/>
      <c r="FA162" s="30"/>
      <c r="FB162" s="30"/>
      <c r="FC162" s="30"/>
      <c r="FD162" s="30"/>
      <c r="FE162" s="30"/>
      <c r="FF162" s="30"/>
      <c r="FG162" s="30"/>
      <c r="FH162" s="30"/>
      <c r="FI162" s="30"/>
      <c r="FJ162" s="30"/>
      <c r="FK162" s="30"/>
      <c r="FL162" s="30"/>
      <c r="FM162" s="30"/>
      <c r="FN162" s="30"/>
      <c r="FO162" s="30"/>
      <c r="FP162" s="30"/>
      <c r="FQ162" s="30"/>
      <c r="FR162" s="30"/>
      <c r="FS162" s="30"/>
      <c r="FT162" s="30"/>
      <c r="FU162" s="30"/>
      <c r="FV162" s="30"/>
      <c r="FW162" s="30"/>
      <c r="FX162" s="30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  <c r="AAA162" s="3"/>
      <c r="AAB162" s="3"/>
      <c r="AAC162" s="3"/>
      <c r="AAD162" s="3"/>
      <c r="AAE162" s="3"/>
      <c r="AAF162" s="3"/>
      <c r="AAG162" s="3"/>
      <c r="AAH162" s="3"/>
      <c r="AAI162" s="3"/>
      <c r="AAJ162" s="3"/>
      <c r="AAK162" s="3"/>
      <c r="AAL162" s="3"/>
      <c r="AAM162" s="3"/>
    </row>
    <row r="163" spans="1:715" s="2" customFormat="1" ht="50" customHeight="1">
      <c r="A163" s="8"/>
      <c r="B163" s="12"/>
      <c r="C163" s="8"/>
      <c r="D163" s="8"/>
      <c r="E163" s="8"/>
      <c r="F163" s="8"/>
      <c r="G163" s="5"/>
      <c r="H163" s="5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0"/>
      <c r="CL163" s="30"/>
      <c r="CM163" s="30"/>
      <c r="CN163" s="30"/>
      <c r="CO163" s="30"/>
      <c r="CP163" s="30"/>
      <c r="CQ163" s="30"/>
      <c r="CR163" s="30"/>
      <c r="CS163" s="30"/>
      <c r="CT163" s="30"/>
      <c r="CU163" s="30"/>
      <c r="CV163" s="30"/>
      <c r="CW163" s="30"/>
      <c r="CX163" s="30"/>
      <c r="CY163" s="30"/>
      <c r="CZ163" s="30"/>
      <c r="DA163" s="30"/>
      <c r="DB163" s="30"/>
      <c r="DC163" s="30"/>
      <c r="DD163" s="30"/>
      <c r="DE163" s="30"/>
      <c r="DF163" s="30"/>
      <c r="DG163" s="30"/>
      <c r="DH163" s="30"/>
      <c r="DI163" s="30"/>
      <c r="DJ163" s="30"/>
      <c r="DK163" s="30"/>
      <c r="DL163" s="30"/>
      <c r="DM163" s="30"/>
      <c r="DN163" s="30"/>
      <c r="DO163" s="30"/>
      <c r="DP163" s="30"/>
      <c r="DQ163" s="30"/>
      <c r="DR163" s="30"/>
      <c r="DS163" s="30"/>
      <c r="DT163" s="30"/>
      <c r="DU163" s="30"/>
      <c r="DV163" s="30"/>
      <c r="DW163" s="30"/>
      <c r="DX163" s="30"/>
      <c r="DY163" s="30"/>
      <c r="DZ163" s="30"/>
      <c r="EA163" s="30"/>
      <c r="EB163" s="30"/>
      <c r="EC163" s="30"/>
      <c r="ED163" s="30"/>
      <c r="EE163" s="30"/>
      <c r="EF163" s="30"/>
      <c r="EG163" s="30"/>
      <c r="EH163" s="30"/>
      <c r="EI163" s="30"/>
      <c r="EJ163" s="30"/>
      <c r="EK163" s="30"/>
      <c r="EL163" s="30"/>
      <c r="EM163" s="30"/>
      <c r="EN163" s="30"/>
      <c r="EO163" s="30"/>
      <c r="EP163" s="30"/>
      <c r="EQ163" s="30"/>
      <c r="ER163" s="30"/>
      <c r="ES163" s="30"/>
      <c r="ET163" s="30"/>
      <c r="EU163" s="30"/>
      <c r="EV163" s="30"/>
      <c r="EW163" s="30"/>
      <c r="EX163" s="30"/>
      <c r="EY163" s="30"/>
      <c r="EZ163" s="30"/>
      <c r="FA163" s="30"/>
      <c r="FB163" s="30"/>
      <c r="FC163" s="30"/>
      <c r="FD163" s="30"/>
      <c r="FE163" s="30"/>
      <c r="FF163" s="30"/>
      <c r="FG163" s="30"/>
      <c r="FH163" s="30"/>
      <c r="FI163" s="30"/>
      <c r="FJ163" s="30"/>
      <c r="FK163" s="30"/>
      <c r="FL163" s="30"/>
      <c r="FM163" s="30"/>
      <c r="FN163" s="30"/>
      <c r="FO163" s="30"/>
      <c r="FP163" s="30"/>
      <c r="FQ163" s="30"/>
      <c r="FR163" s="30"/>
      <c r="FS163" s="30"/>
      <c r="FT163" s="30"/>
      <c r="FU163" s="30"/>
      <c r="FV163" s="30"/>
      <c r="FW163" s="30"/>
      <c r="FX163" s="30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  <c r="AAA163" s="3"/>
      <c r="AAB163" s="3"/>
      <c r="AAC163" s="3"/>
      <c r="AAD163" s="3"/>
      <c r="AAE163" s="3"/>
      <c r="AAF163" s="3"/>
      <c r="AAG163" s="3"/>
      <c r="AAH163" s="3"/>
      <c r="AAI163" s="3"/>
      <c r="AAJ163" s="3"/>
      <c r="AAK163" s="3"/>
      <c r="AAL163" s="3"/>
      <c r="AAM163" s="3"/>
    </row>
    <row r="164" spans="1:715" s="2" customFormat="1" ht="50" customHeight="1">
      <c r="A164" s="8"/>
      <c r="B164" s="12"/>
      <c r="C164" s="8"/>
      <c r="D164" s="8"/>
      <c r="E164" s="8"/>
      <c r="F164" s="8"/>
      <c r="G164" s="5"/>
      <c r="H164" s="5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  <c r="DB164" s="30"/>
      <c r="DC164" s="30"/>
      <c r="DD164" s="30"/>
      <c r="DE164" s="30"/>
      <c r="DF164" s="30"/>
      <c r="DG164" s="30"/>
      <c r="DH164" s="30"/>
      <c r="DI164" s="30"/>
      <c r="DJ164" s="30"/>
      <c r="DK164" s="30"/>
      <c r="DL164" s="30"/>
      <c r="DM164" s="30"/>
      <c r="DN164" s="30"/>
      <c r="DO164" s="30"/>
      <c r="DP164" s="30"/>
      <c r="DQ164" s="30"/>
      <c r="DR164" s="30"/>
      <c r="DS164" s="30"/>
      <c r="DT164" s="30"/>
      <c r="DU164" s="30"/>
      <c r="DV164" s="30"/>
      <c r="DW164" s="30"/>
      <c r="DX164" s="30"/>
      <c r="DY164" s="30"/>
      <c r="DZ164" s="30"/>
      <c r="EA164" s="30"/>
      <c r="EB164" s="30"/>
      <c r="EC164" s="30"/>
      <c r="ED164" s="30"/>
      <c r="EE164" s="30"/>
      <c r="EF164" s="30"/>
      <c r="EG164" s="30"/>
      <c r="EH164" s="30"/>
      <c r="EI164" s="30"/>
      <c r="EJ164" s="30"/>
      <c r="EK164" s="30"/>
      <c r="EL164" s="30"/>
      <c r="EM164" s="30"/>
      <c r="EN164" s="30"/>
      <c r="EO164" s="30"/>
      <c r="EP164" s="30"/>
      <c r="EQ164" s="30"/>
      <c r="ER164" s="30"/>
      <c r="ES164" s="30"/>
      <c r="ET164" s="30"/>
      <c r="EU164" s="30"/>
      <c r="EV164" s="30"/>
      <c r="EW164" s="30"/>
      <c r="EX164" s="30"/>
      <c r="EY164" s="30"/>
      <c r="EZ164" s="30"/>
      <c r="FA164" s="30"/>
      <c r="FB164" s="30"/>
      <c r="FC164" s="30"/>
      <c r="FD164" s="30"/>
      <c r="FE164" s="30"/>
      <c r="FF164" s="30"/>
      <c r="FG164" s="30"/>
      <c r="FH164" s="30"/>
      <c r="FI164" s="30"/>
      <c r="FJ164" s="30"/>
      <c r="FK164" s="30"/>
      <c r="FL164" s="30"/>
      <c r="FM164" s="30"/>
      <c r="FN164" s="30"/>
      <c r="FO164" s="30"/>
      <c r="FP164" s="30"/>
      <c r="FQ164" s="30"/>
      <c r="FR164" s="30"/>
      <c r="FS164" s="30"/>
      <c r="FT164" s="30"/>
      <c r="FU164" s="30"/>
      <c r="FV164" s="30"/>
      <c r="FW164" s="30"/>
      <c r="FX164" s="30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  <c r="AAA164" s="3"/>
      <c r="AAB164" s="3"/>
      <c r="AAC164" s="3"/>
      <c r="AAD164" s="3"/>
      <c r="AAE164" s="3"/>
      <c r="AAF164" s="3"/>
      <c r="AAG164" s="3"/>
      <c r="AAH164" s="3"/>
      <c r="AAI164" s="3"/>
      <c r="AAJ164" s="3"/>
      <c r="AAK164" s="3"/>
      <c r="AAL164" s="3"/>
      <c r="AAM164" s="3"/>
    </row>
    <row r="165" spans="1:715" s="2" customFormat="1" ht="50" customHeight="1">
      <c r="A165" s="8"/>
      <c r="B165" s="12"/>
      <c r="C165" s="8"/>
      <c r="D165" s="8"/>
      <c r="E165" s="8"/>
      <c r="F165" s="8"/>
      <c r="G165" s="5"/>
      <c r="H165" s="5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0"/>
      <c r="CL165" s="30"/>
      <c r="CM165" s="30"/>
      <c r="CN165" s="30"/>
      <c r="CO165" s="30"/>
      <c r="CP165" s="30"/>
      <c r="CQ165" s="30"/>
      <c r="CR165" s="30"/>
      <c r="CS165" s="30"/>
      <c r="CT165" s="30"/>
      <c r="CU165" s="30"/>
      <c r="CV165" s="30"/>
      <c r="CW165" s="30"/>
      <c r="CX165" s="30"/>
      <c r="CY165" s="30"/>
      <c r="CZ165" s="30"/>
      <c r="DA165" s="30"/>
      <c r="DB165" s="30"/>
      <c r="DC165" s="30"/>
      <c r="DD165" s="30"/>
      <c r="DE165" s="30"/>
      <c r="DF165" s="30"/>
      <c r="DG165" s="30"/>
      <c r="DH165" s="30"/>
      <c r="DI165" s="30"/>
      <c r="DJ165" s="30"/>
      <c r="DK165" s="30"/>
      <c r="DL165" s="30"/>
      <c r="DM165" s="30"/>
      <c r="DN165" s="30"/>
      <c r="DO165" s="30"/>
      <c r="DP165" s="30"/>
      <c r="DQ165" s="30"/>
      <c r="DR165" s="30"/>
      <c r="DS165" s="30"/>
      <c r="DT165" s="30"/>
      <c r="DU165" s="30"/>
      <c r="DV165" s="30"/>
      <c r="DW165" s="30"/>
      <c r="DX165" s="30"/>
      <c r="DY165" s="30"/>
      <c r="DZ165" s="30"/>
      <c r="EA165" s="30"/>
      <c r="EB165" s="30"/>
      <c r="EC165" s="30"/>
      <c r="ED165" s="30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V165" s="30"/>
      <c r="EW165" s="30"/>
      <c r="EX165" s="30"/>
      <c r="EY165" s="30"/>
      <c r="EZ165" s="30"/>
      <c r="FA165" s="30"/>
      <c r="FB165" s="30"/>
      <c r="FC165" s="30"/>
      <c r="FD165" s="30"/>
      <c r="FE165" s="30"/>
      <c r="FF165" s="30"/>
      <c r="FG165" s="30"/>
      <c r="FH165" s="30"/>
      <c r="FI165" s="30"/>
      <c r="FJ165" s="30"/>
      <c r="FK165" s="30"/>
      <c r="FL165" s="30"/>
      <c r="FM165" s="30"/>
      <c r="FN165" s="30"/>
      <c r="FO165" s="30"/>
      <c r="FP165" s="30"/>
      <c r="FQ165" s="30"/>
      <c r="FR165" s="30"/>
      <c r="FS165" s="30"/>
      <c r="FT165" s="30"/>
      <c r="FU165" s="30"/>
      <c r="FV165" s="30"/>
      <c r="FW165" s="30"/>
      <c r="FX165" s="30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  <c r="AAA165" s="3"/>
      <c r="AAB165" s="3"/>
      <c r="AAC165" s="3"/>
      <c r="AAD165" s="3"/>
      <c r="AAE165" s="3"/>
      <c r="AAF165" s="3"/>
      <c r="AAG165" s="3"/>
      <c r="AAH165" s="3"/>
      <c r="AAI165" s="3"/>
      <c r="AAJ165" s="3"/>
      <c r="AAK165" s="3"/>
      <c r="AAL165" s="3"/>
      <c r="AAM165" s="3"/>
    </row>
    <row r="166" spans="1:715" s="2" customFormat="1" ht="50" customHeight="1">
      <c r="A166" s="8"/>
      <c r="B166" s="12"/>
      <c r="C166" s="8"/>
      <c r="D166" s="8"/>
      <c r="E166" s="8"/>
      <c r="F166" s="8"/>
      <c r="G166" s="5"/>
      <c r="H166" s="5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0"/>
      <c r="CL166" s="30"/>
      <c r="CM166" s="30"/>
      <c r="CN166" s="30"/>
      <c r="CO166" s="30"/>
      <c r="CP166" s="30"/>
      <c r="CQ166" s="30"/>
      <c r="CR166" s="30"/>
      <c r="CS166" s="30"/>
      <c r="CT166" s="30"/>
      <c r="CU166" s="30"/>
      <c r="CV166" s="30"/>
      <c r="CW166" s="30"/>
      <c r="CX166" s="30"/>
      <c r="CY166" s="30"/>
      <c r="CZ166" s="30"/>
      <c r="DA166" s="30"/>
      <c r="DB166" s="30"/>
      <c r="DC166" s="30"/>
      <c r="DD166" s="30"/>
      <c r="DE166" s="30"/>
      <c r="DF166" s="30"/>
      <c r="DG166" s="30"/>
      <c r="DH166" s="30"/>
      <c r="DI166" s="30"/>
      <c r="DJ166" s="30"/>
      <c r="DK166" s="30"/>
      <c r="DL166" s="30"/>
      <c r="DM166" s="30"/>
      <c r="DN166" s="30"/>
      <c r="DO166" s="30"/>
      <c r="DP166" s="30"/>
      <c r="DQ166" s="30"/>
      <c r="DR166" s="30"/>
      <c r="DS166" s="30"/>
      <c r="DT166" s="30"/>
      <c r="DU166" s="30"/>
      <c r="DV166" s="30"/>
      <c r="DW166" s="30"/>
      <c r="DX166" s="30"/>
      <c r="DY166" s="30"/>
      <c r="DZ166" s="30"/>
      <c r="EA166" s="30"/>
      <c r="EB166" s="30"/>
      <c r="EC166" s="30"/>
      <c r="ED166" s="30"/>
      <c r="EE166" s="30"/>
      <c r="EF166" s="30"/>
      <c r="EG166" s="30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V166" s="30"/>
      <c r="EW166" s="30"/>
      <c r="EX166" s="30"/>
      <c r="EY166" s="30"/>
      <c r="EZ166" s="30"/>
      <c r="FA166" s="30"/>
      <c r="FB166" s="30"/>
      <c r="FC166" s="30"/>
      <c r="FD166" s="30"/>
      <c r="FE166" s="30"/>
      <c r="FF166" s="30"/>
      <c r="FG166" s="30"/>
      <c r="FH166" s="30"/>
      <c r="FI166" s="30"/>
      <c r="FJ166" s="30"/>
      <c r="FK166" s="30"/>
      <c r="FL166" s="30"/>
      <c r="FM166" s="30"/>
      <c r="FN166" s="30"/>
      <c r="FO166" s="30"/>
      <c r="FP166" s="30"/>
      <c r="FQ166" s="30"/>
      <c r="FR166" s="30"/>
      <c r="FS166" s="30"/>
      <c r="FT166" s="30"/>
      <c r="FU166" s="30"/>
      <c r="FV166" s="30"/>
      <c r="FW166" s="30"/>
      <c r="FX166" s="30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  <c r="AAA166" s="3"/>
      <c r="AAB166" s="3"/>
      <c r="AAC166" s="3"/>
      <c r="AAD166" s="3"/>
      <c r="AAE166" s="3"/>
      <c r="AAF166" s="3"/>
      <c r="AAG166" s="3"/>
      <c r="AAH166" s="3"/>
      <c r="AAI166" s="3"/>
      <c r="AAJ166" s="3"/>
      <c r="AAK166" s="3"/>
      <c r="AAL166" s="3"/>
      <c r="AAM166" s="3"/>
    </row>
    <row r="167" spans="1:715" s="2" customFormat="1" ht="50" customHeight="1">
      <c r="A167" s="8"/>
      <c r="B167" s="12"/>
      <c r="C167" s="8"/>
      <c r="D167" s="8"/>
      <c r="E167" s="8"/>
      <c r="F167" s="8"/>
      <c r="G167" s="5"/>
      <c r="H167" s="5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0"/>
      <c r="CL167" s="30"/>
      <c r="CM167" s="30"/>
      <c r="CN167" s="30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0"/>
      <c r="DA167" s="30"/>
      <c r="DB167" s="30"/>
      <c r="DC167" s="30"/>
      <c r="DD167" s="3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/>
      <c r="DW167" s="30"/>
      <c r="DX167" s="30"/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0"/>
      <c r="EK167" s="30"/>
      <c r="EL167" s="30"/>
      <c r="EM167" s="30"/>
      <c r="EN167" s="30"/>
      <c r="EO167" s="30"/>
      <c r="EP167" s="30"/>
      <c r="EQ167" s="30"/>
      <c r="ER167" s="30"/>
      <c r="ES167" s="30"/>
      <c r="ET167" s="30"/>
      <c r="EU167" s="30"/>
      <c r="EV167" s="30"/>
      <c r="EW167" s="30"/>
      <c r="EX167" s="30"/>
      <c r="EY167" s="30"/>
      <c r="EZ167" s="30"/>
      <c r="FA167" s="30"/>
      <c r="FB167" s="30"/>
      <c r="FC167" s="30"/>
      <c r="FD167" s="30"/>
      <c r="FE167" s="30"/>
      <c r="FF167" s="30"/>
      <c r="FG167" s="30"/>
      <c r="FH167" s="30"/>
      <c r="FI167" s="30"/>
      <c r="FJ167" s="30"/>
      <c r="FK167" s="30"/>
      <c r="FL167" s="30"/>
      <c r="FM167" s="30"/>
      <c r="FN167" s="30"/>
      <c r="FO167" s="30"/>
      <c r="FP167" s="30"/>
      <c r="FQ167" s="30"/>
      <c r="FR167" s="30"/>
      <c r="FS167" s="30"/>
      <c r="FT167" s="30"/>
      <c r="FU167" s="30"/>
      <c r="FV167" s="30"/>
      <c r="FW167" s="30"/>
      <c r="FX167" s="30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  <c r="AAA167" s="3"/>
      <c r="AAB167" s="3"/>
      <c r="AAC167" s="3"/>
      <c r="AAD167" s="3"/>
      <c r="AAE167" s="3"/>
      <c r="AAF167" s="3"/>
      <c r="AAG167" s="3"/>
      <c r="AAH167" s="3"/>
      <c r="AAI167" s="3"/>
      <c r="AAJ167" s="3"/>
      <c r="AAK167" s="3"/>
      <c r="AAL167" s="3"/>
      <c r="AAM167" s="3"/>
    </row>
    <row r="168" spans="1:715" s="2" customFormat="1" ht="50" customHeight="1">
      <c r="A168" s="8"/>
      <c r="B168" s="12"/>
      <c r="C168" s="8"/>
      <c r="D168" s="8"/>
      <c r="E168" s="8"/>
      <c r="F168" s="8"/>
      <c r="G168" s="5"/>
      <c r="H168" s="5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  <c r="DB168" s="30"/>
      <c r="DC168" s="30"/>
      <c r="DD168" s="3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30"/>
      <c r="DX168" s="30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0"/>
      <c r="EK168" s="30"/>
      <c r="EL168" s="30"/>
      <c r="EM168" s="30"/>
      <c r="EN168" s="30"/>
      <c r="EO168" s="30"/>
      <c r="EP168" s="30"/>
      <c r="EQ168" s="30"/>
      <c r="ER168" s="30"/>
      <c r="ES168" s="30"/>
      <c r="ET168" s="30"/>
      <c r="EU168" s="30"/>
      <c r="EV168" s="30"/>
      <c r="EW168" s="30"/>
      <c r="EX168" s="30"/>
      <c r="EY168" s="30"/>
      <c r="EZ168" s="30"/>
      <c r="FA168" s="30"/>
      <c r="FB168" s="30"/>
      <c r="FC168" s="30"/>
      <c r="FD168" s="30"/>
      <c r="FE168" s="30"/>
      <c r="FF168" s="30"/>
      <c r="FG168" s="30"/>
      <c r="FH168" s="30"/>
      <c r="FI168" s="30"/>
      <c r="FJ168" s="30"/>
      <c r="FK168" s="30"/>
      <c r="FL168" s="30"/>
      <c r="FM168" s="30"/>
      <c r="FN168" s="30"/>
      <c r="FO168" s="30"/>
      <c r="FP168" s="30"/>
      <c r="FQ168" s="30"/>
      <c r="FR168" s="30"/>
      <c r="FS168" s="30"/>
      <c r="FT168" s="30"/>
      <c r="FU168" s="30"/>
      <c r="FV168" s="30"/>
      <c r="FW168" s="30"/>
      <c r="FX168" s="30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  <c r="AAA168" s="3"/>
      <c r="AAB168" s="3"/>
      <c r="AAC168" s="3"/>
      <c r="AAD168" s="3"/>
      <c r="AAE168" s="3"/>
      <c r="AAF168" s="3"/>
      <c r="AAG168" s="3"/>
      <c r="AAH168" s="3"/>
      <c r="AAI168" s="3"/>
      <c r="AAJ168" s="3"/>
      <c r="AAK168" s="3"/>
      <c r="AAL168" s="3"/>
      <c r="AAM168" s="3"/>
    </row>
    <row r="169" spans="1:715" s="2" customFormat="1" ht="50" customHeight="1">
      <c r="A169" s="8"/>
      <c r="B169" s="12"/>
      <c r="C169" s="8"/>
      <c r="D169" s="8"/>
      <c r="E169" s="8"/>
      <c r="F169" s="8"/>
      <c r="G169" s="5"/>
      <c r="H169" s="5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  <c r="DB169" s="30"/>
      <c r="DC169" s="30"/>
      <c r="DD169" s="30"/>
      <c r="DE169" s="30"/>
      <c r="DF169" s="30"/>
      <c r="DG169" s="30"/>
      <c r="DH169" s="30"/>
      <c r="DI169" s="30"/>
      <c r="DJ169" s="30"/>
      <c r="DK169" s="30"/>
      <c r="DL169" s="30"/>
      <c r="DM169" s="30"/>
      <c r="DN169" s="30"/>
      <c r="DO169" s="30"/>
      <c r="DP169" s="30"/>
      <c r="DQ169" s="30"/>
      <c r="DR169" s="30"/>
      <c r="DS169" s="30"/>
      <c r="DT169" s="30"/>
      <c r="DU169" s="30"/>
      <c r="DV169" s="30"/>
      <c r="DW169" s="30"/>
      <c r="DX169" s="30"/>
      <c r="DY169" s="30"/>
      <c r="DZ169" s="30"/>
      <c r="EA169" s="30"/>
      <c r="EB169" s="30"/>
      <c r="EC169" s="30"/>
      <c r="ED169" s="30"/>
      <c r="EE169" s="30"/>
      <c r="EF169" s="30"/>
      <c r="EG169" s="30"/>
      <c r="EH169" s="30"/>
      <c r="EI169" s="30"/>
      <c r="EJ169" s="30"/>
      <c r="EK169" s="30"/>
      <c r="EL169" s="30"/>
      <c r="EM169" s="30"/>
      <c r="EN169" s="30"/>
      <c r="EO169" s="30"/>
      <c r="EP169" s="30"/>
      <c r="EQ169" s="30"/>
      <c r="ER169" s="30"/>
      <c r="ES169" s="30"/>
      <c r="ET169" s="30"/>
      <c r="EU169" s="30"/>
      <c r="EV169" s="30"/>
      <c r="EW169" s="30"/>
      <c r="EX169" s="30"/>
      <c r="EY169" s="30"/>
      <c r="EZ169" s="30"/>
      <c r="FA169" s="30"/>
      <c r="FB169" s="30"/>
      <c r="FC169" s="30"/>
      <c r="FD169" s="30"/>
      <c r="FE169" s="30"/>
      <c r="FF169" s="30"/>
      <c r="FG169" s="30"/>
      <c r="FH169" s="30"/>
      <c r="FI169" s="30"/>
      <c r="FJ169" s="30"/>
      <c r="FK169" s="30"/>
      <c r="FL169" s="30"/>
      <c r="FM169" s="30"/>
      <c r="FN169" s="30"/>
      <c r="FO169" s="30"/>
      <c r="FP169" s="30"/>
      <c r="FQ169" s="30"/>
      <c r="FR169" s="30"/>
      <c r="FS169" s="30"/>
      <c r="FT169" s="30"/>
      <c r="FU169" s="30"/>
      <c r="FV169" s="30"/>
      <c r="FW169" s="30"/>
      <c r="FX169" s="30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  <c r="AAA169" s="3"/>
      <c r="AAB169" s="3"/>
      <c r="AAC169" s="3"/>
      <c r="AAD169" s="3"/>
      <c r="AAE169" s="3"/>
      <c r="AAF169" s="3"/>
      <c r="AAG169" s="3"/>
      <c r="AAH169" s="3"/>
      <c r="AAI169" s="3"/>
      <c r="AAJ169" s="3"/>
      <c r="AAK169" s="3"/>
      <c r="AAL169" s="3"/>
      <c r="AAM169" s="3"/>
    </row>
    <row r="170" spans="1:715" s="2" customFormat="1" ht="50" customHeight="1">
      <c r="A170" s="8"/>
      <c r="B170" s="12"/>
      <c r="C170" s="8"/>
      <c r="D170" s="8"/>
      <c r="E170" s="8"/>
      <c r="F170" s="8"/>
      <c r="G170" s="5"/>
      <c r="H170" s="5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  <c r="DB170" s="30"/>
      <c r="DC170" s="30"/>
      <c r="DD170" s="3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/>
      <c r="DW170" s="30"/>
      <c r="DX170" s="30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0"/>
      <c r="EK170" s="30"/>
      <c r="EL170" s="30"/>
      <c r="EM170" s="30"/>
      <c r="EN170" s="30"/>
      <c r="EO170" s="30"/>
      <c r="EP170" s="30"/>
      <c r="EQ170" s="30"/>
      <c r="ER170" s="30"/>
      <c r="ES170" s="30"/>
      <c r="ET170" s="30"/>
      <c r="EU170" s="30"/>
      <c r="EV170" s="30"/>
      <c r="EW170" s="30"/>
      <c r="EX170" s="30"/>
      <c r="EY170" s="30"/>
      <c r="EZ170" s="30"/>
      <c r="FA170" s="30"/>
      <c r="FB170" s="30"/>
      <c r="FC170" s="30"/>
      <c r="FD170" s="30"/>
      <c r="FE170" s="30"/>
      <c r="FF170" s="30"/>
      <c r="FG170" s="30"/>
      <c r="FH170" s="30"/>
      <c r="FI170" s="30"/>
      <c r="FJ170" s="30"/>
      <c r="FK170" s="30"/>
      <c r="FL170" s="30"/>
      <c r="FM170" s="30"/>
      <c r="FN170" s="30"/>
      <c r="FO170" s="30"/>
      <c r="FP170" s="30"/>
      <c r="FQ170" s="30"/>
      <c r="FR170" s="30"/>
      <c r="FS170" s="30"/>
      <c r="FT170" s="30"/>
      <c r="FU170" s="30"/>
      <c r="FV170" s="30"/>
      <c r="FW170" s="30"/>
      <c r="FX170" s="30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  <c r="AAA170" s="3"/>
      <c r="AAB170" s="3"/>
      <c r="AAC170" s="3"/>
      <c r="AAD170" s="3"/>
      <c r="AAE170" s="3"/>
      <c r="AAF170" s="3"/>
      <c r="AAG170" s="3"/>
      <c r="AAH170" s="3"/>
      <c r="AAI170" s="3"/>
      <c r="AAJ170" s="3"/>
      <c r="AAK170" s="3"/>
      <c r="AAL170" s="3"/>
      <c r="AAM170" s="3"/>
    </row>
    <row r="171" spans="1:715" s="2" customFormat="1" ht="50" customHeight="1">
      <c r="A171" s="8"/>
      <c r="B171" s="12"/>
      <c r="C171" s="8"/>
      <c r="D171" s="8"/>
      <c r="E171" s="8"/>
      <c r="F171" s="8"/>
      <c r="G171" s="5"/>
      <c r="H171" s="5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  <c r="DB171" s="30"/>
      <c r="DC171" s="30"/>
      <c r="DD171" s="3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/>
      <c r="DW171" s="30"/>
      <c r="DX171" s="30"/>
      <c r="DY171" s="30"/>
      <c r="DZ171" s="30"/>
      <c r="EA171" s="30"/>
      <c r="EB171" s="30"/>
      <c r="EC171" s="30"/>
      <c r="ED171" s="30"/>
      <c r="EE171" s="30"/>
      <c r="EF171" s="30"/>
      <c r="EG171" s="30"/>
      <c r="EH171" s="30"/>
      <c r="EI171" s="30"/>
      <c r="EJ171" s="30"/>
      <c r="EK171" s="30"/>
      <c r="EL171" s="30"/>
      <c r="EM171" s="30"/>
      <c r="EN171" s="30"/>
      <c r="EO171" s="30"/>
      <c r="EP171" s="30"/>
      <c r="EQ171" s="30"/>
      <c r="ER171" s="30"/>
      <c r="ES171" s="30"/>
      <c r="ET171" s="30"/>
      <c r="EU171" s="30"/>
      <c r="EV171" s="30"/>
      <c r="EW171" s="30"/>
      <c r="EX171" s="30"/>
      <c r="EY171" s="30"/>
      <c r="EZ171" s="30"/>
      <c r="FA171" s="30"/>
      <c r="FB171" s="30"/>
      <c r="FC171" s="30"/>
      <c r="FD171" s="30"/>
      <c r="FE171" s="30"/>
      <c r="FF171" s="30"/>
      <c r="FG171" s="30"/>
      <c r="FH171" s="30"/>
      <c r="FI171" s="30"/>
      <c r="FJ171" s="30"/>
      <c r="FK171" s="30"/>
      <c r="FL171" s="30"/>
      <c r="FM171" s="30"/>
      <c r="FN171" s="30"/>
      <c r="FO171" s="30"/>
      <c r="FP171" s="30"/>
      <c r="FQ171" s="30"/>
      <c r="FR171" s="30"/>
      <c r="FS171" s="30"/>
      <c r="FT171" s="30"/>
      <c r="FU171" s="30"/>
      <c r="FV171" s="30"/>
      <c r="FW171" s="30"/>
      <c r="FX171" s="30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  <c r="AAA171" s="3"/>
      <c r="AAB171" s="3"/>
      <c r="AAC171" s="3"/>
      <c r="AAD171" s="3"/>
      <c r="AAE171" s="3"/>
      <c r="AAF171" s="3"/>
      <c r="AAG171" s="3"/>
      <c r="AAH171" s="3"/>
      <c r="AAI171" s="3"/>
      <c r="AAJ171" s="3"/>
      <c r="AAK171" s="3"/>
      <c r="AAL171" s="3"/>
      <c r="AAM171" s="3"/>
    </row>
    <row r="172" spans="1:715" s="2" customFormat="1" ht="50" customHeight="1">
      <c r="A172" s="8"/>
      <c r="B172" s="12"/>
      <c r="C172" s="8"/>
      <c r="D172" s="8"/>
      <c r="E172" s="8"/>
      <c r="F172" s="8"/>
      <c r="G172" s="5"/>
      <c r="H172" s="5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  <c r="DB172" s="30"/>
      <c r="DC172" s="30"/>
      <c r="DD172" s="30"/>
      <c r="DE172" s="30"/>
      <c r="DF172" s="30"/>
      <c r="DG172" s="30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0"/>
      <c r="EZ172" s="30"/>
      <c r="FA172" s="30"/>
      <c r="FB172" s="30"/>
      <c r="FC172" s="30"/>
      <c r="FD172" s="30"/>
      <c r="FE172" s="30"/>
      <c r="FF172" s="30"/>
      <c r="FG172" s="30"/>
      <c r="FH172" s="30"/>
      <c r="FI172" s="30"/>
      <c r="FJ172" s="30"/>
      <c r="FK172" s="30"/>
      <c r="FL172" s="30"/>
      <c r="FM172" s="30"/>
      <c r="FN172" s="30"/>
      <c r="FO172" s="30"/>
      <c r="FP172" s="30"/>
      <c r="FQ172" s="30"/>
      <c r="FR172" s="30"/>
      <c r="FS172" s="30"/>
      <c r="FT172" s="30"/>
      <c r="FU172" s="30"/>
      <c r="FV172" s="30"/>
      <c r="FW172" s="30"/>
      <c r="FX172" s="30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  <c r="AAA172" s="3"/>
      <c r="AAB172" s="3"/>
      <c r="AAC172" s="3"/>
      <c r="AAD172" s="3"/>
      <c r="AAE172" s="3"/>
      <c r="AAF172" s="3"/>
      <c r="AAG172" s="3"/>
      <c r="AAH172" s="3"/>
      <c r="AAI172" s="3"/>
      <c r="AAJ172" s="3"/>
      <c r="AAK172" s="3"/>
      <c r="AAL172" s="3"/>
      <c r="AAM172" s="3"/>
    </row>
    <row r="173" spans="1:715" s="2" customFormat="1" ht="50" customHeight="1">
      <c r="A173" s="8"/>
      <c r="B173" s="12"/>
      <c r="C173" s="8"/>
      <c r="D173" s="8"/>
      <c r="E173" s="8"/>
      <c r="F173" s="8"/>
      <c r="G173" s="5"/>
      <c r="H173" s="5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30"/>
      <c r="DX173" s="3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  <c r="EO173" s="30"/>
      <c r="EP173" s="30"/>
      <c r="EQ173" s="30"/>
      <c r="ER173" s="30"/>
      <c r="ES173" s="30"/>
      <c r="ET173" s="30"/>
      <c r="EU173" s="30"/>
      <c r="EV173" s="30"/>
      <c r="EW173" s="30"/>
      <c r="EX173" s="30"/>
      <c r="EY173" s="30"/>
      <c r="EZ173" s="30"/>
      <c r="FA173" s="30"/>
      <c r="FB173" s="30"/>
      <c r="FC173" s="30"/>
      <c r="FD173" s="30"/>
      <c r="FE173" s="30"/>
      <c r="FF173" s="30"/>
      <c r="FG173" s="30"/>
      <c r="FH173" s="30"/>
      <c r="FI173" s="30"/>
      <c r="FJ173" s="30"/>
      <c r="FK173" s="30"/>
      <c r="FL173" s="30"/>
      <c r="FM173" s="30"/>
      <c r="FN173" s="30"/>
      <c r="FO173" s="30"/>
      <c r="FP173" s="30"/>
      <c r="FQ173" s="30"/>
      <c r="FR173" s="30"/>
      <c r="FS173" s="30"/>
      <c r="FT173" s="30"/>
      <c r="FU173" s="30"/>
      <c r="FV173" s="30"/>
      <c r="FW173" s="30"/>
      <c r="FX173" s="30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  <c r="AAA173" s="3"/>
      <c r="AAB173" s="3"/>
      <c r="AAC173" s="3"/>
      <c r="AAD173" s="3"/>
      <c r="AAE173" s="3"/>
      <c r="AAF173" s="3"/>
      <c r="AAG173" s="3"/>
      <c r="AAH173" s="3"/>
      <c r="AAI173" s="3"/>
      <c r="AAJ173" s="3"/>
      <c r="AAK173" s="3"/>
      <c r="AAL173" s="3"/>
      <c r="AAM173" s="3"/>
    </row>
    <row r="174" spans="1:715" s="2" customFormat="1" ht="50" customHeight="1">
      <c r="A174" s="8"/>
      <c r="B174" s="12"/>
      <c r="C174" s="8"/>
      <c r="D174" s="8"/>
      <c r="E174" s="8"/>
      <c r="F174" s="8"/>
      <c r="G174" s="5"/>
      <c r="H174" s="5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  <c r="DB174" s="30"/>
      <c r="DC174" s="30"/>
      <c r="DD174" s="3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30"/>
      <c r="DX174" s="30"/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0"/>
      <c r="EK174" s="30"/>
      <c r="EL174" s="30"/>
      <c r="EM174" s="30"/>
      <c r="EN174" s="30"/>
      <c r="EO174" s="30"/>
      <c r="EP174" s="30"/>
      <c r="EQ174" s="30"/>
      <c r="ER174" s="30"/>
      <c r="ES174" s="30"/>
      <c r="ET174" s="30"/>
      <c r="EU174" s="30"/>
      <c r="EV174" s="30"/>
      <c r="EW174" s="30"/>
      <c r="EX174" s="30"/>
      <c r="EY174" s="30"/>
      <c r="EZ174" s="30"/>
      <c r="FA174" s="30"/>
      <c r="FB174" s="30"/>
      <c r="FC174" s="30"/>
      <c r="FD174" s="30"/>
      <c r="FE174" s="30"/>
      <c r="FF174" s="30"/>
      <c r="FG174" s="30"/>
      <c r="FH174" s="30"/>
      <c r="FI174" s="30"/>
      <c r="FJ174" s="30"/>
      <c r="FK174" s="30"/>
      <c r="FL174" s="30"/>
      <c r="FM174" s="30"/>
      <c r="FN174" s="30"/>
      <c r="FO174" s="30"/>
      <c r="FP174" s="30"/>
      <c r="FQ174" s="30"/>
      <c r="FR174" s="30"/>
      <c r="FS174" s="30"/>
      <c r="FT174" s="30"/>
      <c r="FU174" s="30"/>
      <c r="FV174" s="30"/>
      <c r="FW174" s="30"/>
      <c r="FX174" s="30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  <c r="AAA174" s="3"/>
      <c r="AAB174" s="3"/>
      <c r="AAC174" s="3"/>
      <c r="AAD174" s="3"/>
      <c r="AAE174" s="3"/>
      <c r="AAF174" s="3"/>
      <c r="AAG174" s="3"/>
      <c r="AAH174" s="3"/>
      <c r="AAI174" s="3"/>
      <c r="AAJ174" s="3"/>
      <c r="AAK174" s="3"/>
      <c r="AAL174" s="3"/>
      <c r="AAM174" s="3"/>
    </row>
    <row r="175" spans="1:715" s="2" customFormat="1" ht="50" customHeight="1">
      <c r="A175" s="8"/>
      <c r="B175" s="12"/>
      <c r="C175" s="8"/>
      <c r="D175" s="8"/>
      <c r="E175" s="8"/>
      <c r="F175" s="8"/>
      <c r="G175" s="5"/>
      <c r="H175" s="5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  <c r="DB175" s="30"/>
      <c r="DC175" s="30"/>
      <c r="DD175" s="30"/>
      <c r="DE175" s="30"/>
      <c r="DF175" s="30"/>
      <c r="DG175" s="30"/>
      <c r="DH175" s="30"/>
      <c r="DI175" s="30"/>
      <c r="DJ175" s="30"/>
      <c r="DK175" s="30"/>
      <c r="DL175" s="30"/>
      <c r="DM175" s="30"/>
      <c r="DN175" s="30"/>
      <c r="DO175" s="30"/>
      <c r="DP175" s="30"/>
      <c r="DQ175" s="30"/>
      <c r="DR175" s="30"/>
      <c r="DS175" s="30"/>
      <c r="DT175" s="30"/>
      <c r="DU175" s="30"/>
      <c r="DV175" s="30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  <c r="AAA175" s="3"/>
      <c r="AAB175" s="3"/>
      <c r="AAC175" s="3"/>
      <c r="AAD175" s="3"/>
      <c r="AAE175" s="3"/>
      <c r="AAF175" s="3"/>
      <c r="AAG175" s="3"/>
      <c r="AAH175" s="3"/>
      <c r="AAI175" s="3"/>
      <c r="AAJ175" s="3"/>
      <c r="AAK175" s="3"/>
      <c r="AAL175" s="3"/>
      <c r="AAM175" s="3"/>
    </row>
    <row r="176" spans="1:715" s="2" customFormat="1" ht="50" customHeight="1">
      <c r="A176" s="8"/>
      <c r="B176" s="12"/>
      <c r="C176" s="8"/>
      <c r="D176" s="8"/>
      <c r="E176" s="8"/>
      <c r="F176" s="8"/>
      <c r="G176" s="5"/>
      <c r="H176" s="5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  <c r="DB176" s="30"/>
      <c r="DC176" s="30"/>
      <c r="DD176" s="3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  <c r="AAA176" s="3"/>
      <c r="AAB176" s="3"/>
      <c r="AAC176" s="3"/>
      <c r="AAD176" s="3"/>
      <c r="AAE176" s="3"/>
      <c r="AAF176" s="3"/>
      <c r="AAG176" s="3"/>
      <c r="AAH176" s="3"/>
      <c r="AAI176" s="3"/>
      <c r="AAJ176" s="3"/>
      <c r="AAK176" s="3"/>
      <c r="AAL176" s="3"/>
      <c r="AAM176" s="3"/>
    </row>
    <row r="177" spans="1:715" s="2" customFormat="1" ht="50" customHeight="1">
      <c r="A177" s="8"/>
      <c r="B177" s="12"/>
      <c r="C177" s="8"/>
      <c r="D177" s="8"/>
      <c r="E177" s="8"/>
      <c r="F177" s="8"/>
      <c r="G177" s="5"/>
      <c r="H177" s="5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  <c r="AAA177" s="3"/>
      <c r="AAB177" s="3"/>
      <c r="AAC177" s="3"/>
      <c r="AAD177" s="3"/>
      <c r="AAE177" s="3"/>
      <c r="AAF177" s="3"/>
      <c r="AAG177" s="3"/>
      <c r="AAH177" s="3"/>
      <c r="AAI177" s="3"/>
      <c r="AAJ177" s="3"/>
      <c r="AAK177" s="3"/>
      <c r="AAL177" s="3"/>
      <c r="AAM177" s="3"/>
    </row>
    <row r="178" spans="1:715" s="2" customFormat="1" ht="50" customHeight="1">
      <c r="A178" s="8"/>
      <c r="B178" s="12"/>
      <c r="C178" s="8"/>
      <c r="D178" s="8"/>
      <c r="E178" s="8"/>
      <c r="F178" s="8"/>
      <c r="G178" s="5"/>
      <c r="H178" s="5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  <c r="DB178" s="30"/>
      <c r="DC178" s="30"/>
      <c r="DD178" s="30"/>
      <c r="DE178" s="30"/>
      <c r="DF178" s="30"/>
      <c r="DG178" s="30"/>
      <c r="DH178" s="30"/>
      <c r="DI178" s="30"/>
      <c r="DJ178" s="30"/>
      <c r="DK178" s="30"/>
      <c r="DL178" s="30"/>
      <c r="DM178" s="30"/>
      <c r="DN178" s="30"/>
      <c r="DO178" s="30"/>
      <c r="DP178" s="30"/>
      <c r="DQ178" s="30"/>
      <c r="DR178" s="30"/>
      <c r="DS178" s="30"/>
      <c r="DT178" s="30"/>
      <c r="DU178" s="30"/>
      <c r="DV178" s="30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  <c r="AAA178" s="3"/>
      <c r="AAB178" s="3"/>
      <c r="AAC178" s="3"/>
      <c r="AAD178" s="3"/>
      <c r="AAE178" s="3"/>
      <c r="AAF178" s="3"/>
      <c r="AAG178" s="3"/>
      <c r="AAH178" s="3"/>
      <c r="AAI178" s="3"/>
      <c r="AAJ178" s="3"/>
      <c r="AAK178" s="3"/>
      <c r="AAL178" s="3"/>
      <c r="AAM178" s="3"/>
    </row>
    <row r="179" spans="1:715" s="2" customFormat="1" ht="50" customHeight="1">
      <c r="A179" s="8"/>
      <c r="B179" s="12"/>
      <c r="C179" s="8"/>
      <c r="D179" s="8"/>
      <c r="E179" s="8"/>
      <c r="F179" s="8"/>
      <c r="G179" s="5"/>
      <c r="H179" s="5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  <c r="DB179" s="30"/>
      <c r="DC179" s="30"/>
      <c r="DD179" s="3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  <c r="AAA179" s="3"/>
      <c r="AAB179" s="3"/>
      <c r="AAC179" s="3"/>
      <c r="AAD179" s="3"/>
      <c r="AAE179" s="3"/>
      <c r="AAF179" s="3"/>
      <c r="AAG179" s="3"/>
      <c r="AAH179" s="3"/>
      <c r="AAI179" s="3"/>
      <c r="AAJ179" s="3"/>
      <c r="AAK179" s="3"/>
      <c r="AAL179" s="3"/>
      <c r="AAM179" s="3"/>
    </row>
    <row r="180" spans="1:715" s="2" customFormat="1" ht="50" customHeight="1">
      <c r="A180" s="8"/>
      <c r="B180" s="12"/>
      <c r="C180" s="8"/>
      <c r="D180" s="8"/>
      <c r="E180" s="8"/>
      <c r="F180" s="8"/>
      <c r="G180" s="5"/>
      <c r="H180" s="5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  <c r="DB180" s="30"/>
      <c r="DC180" s="30"/>
      <c r="DD180" s="30"/>
      <c r="DE180" s="30"/>
      <c r="DF180" s="30"/>
      <c r="DG180" s="30"/>
      <c r="DH180" s="30"/>
      <c r="DI180" s="30"/>
      <c r="DJ180" s="30"/>
      <c r="DK180" s="30"/>
      <c r="DL180" s="30"/>
      <c r="DM180" s="30"/>
      <c r="DN180" s="30"/>
      <c r="DO180" s="30"/>
      <c r="DP180" s="30"/>
      <c r="DQ180" s="30"/>
      <c r="DR180" s="30"/>
      <c r="DS180" s="30"/>
      <c r="DT180" s="30"/>
      <c r="DU180" s="30"/>
      <c r="DV180" s="30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  <c r="AAA180" s="3"/>
      <c r="AAB180" s="3"/>
      <c r="AAC180" s="3"/>
      <c r="AAD180" s="3"/>
      <c r="AAE180" s="3"/>
      <c r="AAF180" s="3"/>
      <c r="AAG180" s="3"/>
      <c r="AAH180" s="3"/>
      <c r="AAI180" s="3"/>
      <c r="AAJ180" s="3"/>
      <c r="AAK180" s="3"/>
      <c r="AAL180" s="3"/>
      <c r="AAM180" s="3"/>
    </row>
    <row r="181" spans="1:715" s="2" customFormat="1" ht="50" customHeight="1">
      <c r="A181" s="8"/>
      <c r="B181" s="12"/>
      <c r="C181" s="8"/>
      <c r="D181" s="8"/>
      <c r="E181" s="8"/>
      <c r="F181" s="8"/>
      <c r="G181" s="5"/>
      <c r="H181" s="5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0"/>
      <c r="CL181" s="30"/>
      <c r="CM181" s="30"/>
      <c r="CN181" s="30"/>
      <c r="CO181" s="30"/>
      <c r="CP181" s="30"/>
      <c r="CQ181" s="30"/>
      <c r="CR181" s="30"/>
      <c r="CS181" s="30"/>
      <c r="CT181" s="30"/>
      <c r="CU181" s="30"/>
      <c r="CV181" s="30"/>
      <c r="CW181" s="30"/>
      <c r="CX181" s="30"/>
      <c r="CY181" s="30"/>
      <c r="CZ181" s="30"/>
      <c r="DA181" s="30"/>
      <c r="DB181" s="30"/>
      <c r="DC181" s="30"/>
      <c r="DD181" s="30"/>
      <c r="DE181" s="30"/>
      <c r="DF181" s="30"/>
      <c r="DG181" s="30"/>
      <c r="DH181" s="30"/>
      <c r="DI181" s="30"/>
      <c r="DJ181" s="30"/>
      <c r="DK181" s="30"/>
      <c r="DL181" s="30"/>
      <c r="DM181" s="30"/>
      <c r="DN181" s="30"/>
      <c r="DO181" s="30"/>
      <c r="DP181" s="30"/>
      <c r="DQ181" s="30"/>
      <c r="DR181" s="30"/>
      <c r="DS181" s="30"/>
      <c r="DT181" s="30"/>
      <c r="DU181" s="30"/>
      <c r="DV181" s="30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  <c r="AAA181" s="3"/>
      <c r="AAB181" s="3"/>
      <c r="AAC181" s="3"/>
      <c r="AAD181" s="3"/>
      <c r="AAE181" s="3"/>
      <c r="AAF181" s="3"/>
      <c r="AAG181" s="3"/>
      <c r="AAH181" s="3"/>
      <c r="AAI181" s="3"/>
      <c r="AAJ181" s="3"/>
      <c r="AAK181" s="3"/>
      <c r="AAL181" s="3"/>
      <c r="AAM181" s="3"/>
    </row>
    <row r="182" spans="1:715" s="2" customFormat="1" ht="50" customHeight="1">
      <c r="A182" s="8"/>
      <c r="B182" s="12"/>
      <c r="C182" s="8"/>
      <c r="D182" s="8"/>
      <c r="E182" s="8"/>
      <c r="F182" s="8"/>
      <c r="G182" s="5"/>
      <c r="H182" s="5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  <c r="DB182" s="30"/>
      <c r="DC182" s="30"/>
      <c r="DD182" s="3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  <c r="AAA182" s="3"/>
      <c r="AAB182" s="3"/>
      <c r="AAC182" s="3"/>
      <c r="AAD182" s="3"/>
      <c r="AAE182" s="3"/>
      <c r="AAF182" s="3"/>
      <c r="AAG182" s="3"/>
      <c r="AAH182" s="3"/>
      <c r="AAI182" s="3"/>
      <c r="AAJ182" s="3"/>
      <c r="AAK182" s="3"/>
      <c r="AAL182" s="3"/>
      <c r="AAM182" s="3"/>
    </row>
    <row r="183" spans="1:715" s="2" customFormat="1" ht="50" customHeight="1">
      <c r="A183" s="8"/>
      <c r="B183" s="12"/>
      <c r="C183" s="8"/>
      <c r="D183" s="8"/>
      <c r="E183" s="8"/>
      <c r="F183" s="8"/>
      <c r="G183" s="5"/>
      <c r="H183" s="5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  <c r="DB183" s="30"/>
      <c r="DC183" s="30"/>
      <c r="DD183" s="3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  <c r="AAA183" s="3"/>
      <c r="AAB183" s="3"/>
      <c r="AAC183" s="3"/>
      <c r="AAD183" s="3"/>
      <c r="AAE183" s="3"/>
      <c r="AAF183" s="3"/>
      <c r="AAG183" s="3"/>
      <c r="AAH183" s="3"/>
      <c r="AAI183" s="3"/>
      <c r="AAJ183" s="3"/>
      <c r="AAK183" s="3"/>
      <c r="AAL183" s="3"/>
      <c r="AAM183" s="3"/>
    </row>
    <row r="184" spans="1:715" s="2" customFormat="1" ht="50" customHeight="1">
      <c r="A184" s="8"/>
      <c r="B184" s="12"/>
      <c r="C184" s="8"/>
      <c r="D184" s="8"/>
      <c r="E184" s="8"/>
      <c r="F184" s="8"/>
      <c r="G184" s="5"/>
      <c r="H184" s="5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  <c r="DB184" s="30"/>
      <c r="DC184" s="30"/>
      <c r="DD184" s="30"/>
      <c r="DE184" s="30"/>
      <c r="DF184" s="30"/>
      <c r="DG184" s="30"/>
      <c r="DH184" s="30"/>
      <c r="DI184" s="30"/>
      <c r="DJ184" s="30"/>
      <c r="DK184" s="30"/>
      <c r="DL184" s="30"/>
      <c r="DM184" s="30"/>
      <c r="DN184" s="30"/>
      <c r="DO184" s="30"/>
      <c r="DP184" s="30"/>
      <c r="DQ184" s="30"/>
      <c r="DR184" s="30"/>
      <c r="DS184" s="30"/>
      <c r="DT184" s="30"/>
      <c r="DU184" s="30"/>
      <c r="DV184" s="30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  <c r="AAA184" s="3"/>
      <c r="AAB184" s="3"/>
      <c r="AAC184" s="3"/>
      <c r="AAD184" s="3"/>
      <c r="AAE184" s="3"/>
      <c r="AAF184" s="3"/>
      <c r="AAG184" s="3"/>
      <c r="AAH184" s="3"/>
      <c r="AAI184" s="3"/>
      <c r="AAJ184" s="3"/>
      <c r="AAK184" s="3"/>
      <c r="AAL184" s="3"/>
      <c r="AAM184" s="3"/>
    </row>
    <row r="185" spans="1:715" s="2" customFormat="1" ht="50" customHeight="1">
      <c r="A185" s="8"/>
      <c r="B185" s="12"/>
      <c r="C185" s="8"/>
      <c r="D185" s="8"/>
      <c r="E185" s="8"/>
      <c r="F185" s="8"/>
      <c r="G185" s="5"/>
      <c r="H185" s="5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  <c r="DB185" s="30"/>
      <c r="DC185" s="30"/>
      <c r="DD185" s="30"/>
      <c r="DE185" s="30"/>
      <c r="DF185" s="30"/>
      <c r="DG185" s="30"/>
      <c r="DH185" s="30"/>
      <c r="DI185" s="30"/>
      <c r="DJ185" s="30"/>
      <c r="DK185" s="30"/>
      <c r="DL185" s="30"/>
      <c r="DM185" s="30"/>
      <c r="DN185" s="30"/>
      <c r="DO185" s="30"/>
      <c r="DP185" s="30"/>
      <c r="DQ185" s="30"/>
      <c r="DR185" s="30"/>
      <c r="DS185" s="30"/>
      <c r="DT185" s="30"/>
      <c r="DU185" s="30"/>
      <c r="DV185" s="30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  <c r="AAA185" s="3"/>
      <c r="AAB185" s="3"/>
      <c r="AAC185" s="3"/>
      <c r="AAD185" s="3"/>
      <c r="AAE185" s="3"/>
      <c r="AAF185" s="3"/>
      <c r="AAG185" s="3"/>
      <c r="AAH185" s="3"/>
      <c r="AAI185" s="3"/>
      <c r="AAJ185" s="3"/>
      <c r="AAK185" s="3"/>
      <c r="AAL185" s="3"/>
      <c r="AAM185" s="3"/>
    </row>
    <row r="186" spans="1:715" s="2" customFormat="1" ht="50" customHeight="1">
      <c r="A186" s="8"/>
      <c r="B186" s="12"/>
      <c r="C186" s="8"/>
      <c r="D186" s="8"/>
      <c r="E186" s="8"/>
      <c r="F186" s="8"/>
      <c r="G186" s="5"/>
      <c r="H186" s="5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  <c r="DB186" s="30"/>
      <c r="DC186" s="30"/>
      <c r="DD186" s="30"/>
      <c r="DE186" s="30"/>
      <c r="DF186" s="30"/>
      <c r="DG186" s="30"/>
      <c r="DH186" s="30"/>
      <c r="DI186" s="30"/>
      <c r="DJ186" s="30"/>
      <c r="DK186" s="30"/>
      <c r="DL186" s="30"/>
      <c r="DM186" s="30"/>
      <c r="DN186" s="30"/>
      <c r="DO186" s="30"/>
      <c r="DP186" s="30"/>
      <c r="DQ186" s="30"/>
      <c r="DR186" s="30"/>
      <c r="DS186" s="30"/>
      <c r="DT186" s="30"/>
      <c r="DU186" s="30"/>
      <c r="DV186" s="30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  <c r="AAA186" s="3"/>
      <c r="AAB186" s="3"/>
      <c r="AAC186" s="3"/>
      <c r="AAD186" s="3"/>
      <c r="AAE186" s="3"/>
      <c r="AAF186" s="3"/>
      <c r="AAG186" s="3"/>
      <c r="AAH186" s="3"/>
      <c r="AAI186" s="3"/>
      <c r="AAJ186" s="3"/>
      <c r="AAK186" s="3"/>
      <c r="AAL186" s="3"/>
      <c r="AAM186" s="3"/>
    </row>
    <row r="187" spans="1:715" s="2" customFormat="1" ht="50" customHeight="1">
      <c r="A187" s="8"/>
      <c r="B187" s="12"/>
      <c r="C187" s="8"/>
      <c r="D187" s="8"/>
      <c r="E187" s="8"/>
      <c r="F187" s="8"/>
      <c r="G187" s="5"/>
      <c r="H187" s="5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  <c r="DB187" s="30"/>
      <c r="DC187" s="30"/>
      <c r="DD187" s="30"/>
      <c r="DE187" s="30"/>
      <c r="DF187" s="30"/>
      <c r="DG187" s="30"/>
      <c r="DH187" s="30"/>
      <c r="DI187" s="30"/>
      <c r="DJ187" s="30"/>
      <c r="DK187" s="30"/>
      <c r="DL187" s="30"/>
      <c r="DM187" s="30"/>
      <c r="DN187" s="30"/>
      <c r="DO187" s="30"/>
      <c r="DP187" s="30"/>
      <c r="DQ187" s="30"/>
      <c r="DR187" s="30"/>
      <c r="DS187" s="30"/>
      <c r="DT187" s="30"/>
      <c r="DU187" s="30"/>
      <c r="DV187" s="30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  <c r="AAA187" s="3"/>
      <c r="AAB187" s="3"/>
      <c r="AAC187" s="3"/>
      <c r="AAD187" s="3"/>
      <c r="AAE187" s="3"/>
      <c r="AAF187" s="3"/>
      <c r="AAG187" s="3"/>
      <c r="AAH187" s="3"/>
      <c r="AAI187" s="3"/>
      <c r="AAJ187" s="3"/>
      <c r="AAK187" s="3"/>
      <c r="AAL187" s="3"/>
      <c r="AAM187" s="3"/>
    </row>
    <row r="188" spans="1:715" s="2" customFormat="1" ht="50" customHeight="1">
      <c r="A188" s="8"/>
      <c r="B188" s="12"/>
      <c r="C188" s="8"/>
      <c r="D188" s="8"/>
      <c r="E188" s="8"/>
      <c r="F188" s="8"/>
      <c r="G188" s="5"/>
      <c r="H188" s="5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  <c r="DB188" s="30"/>
      <c r="DC188" s="30"/>
      <c r="DD188" s="3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  <c r="AAA188" s="3"/>
      <c r="AAB188" s="3"/>
      <c r="AAC188" s="3"/>
      <c r="AAD188" s="3"/>
      <c r="AAE188" s="3"/>
      <c r="AAF188" s="3"/>
      <c r="AAG188" s="3"/>
      <c r="AAH188" s="3"/>
      <c r="AAI188" s="3"/>
      <c r="AAJ188" s="3"/>
      <c r="AAK188" s="3"/>
      <c r="AAL188" s="3"/>
      <c r="AAM188" s="3"/>
    </row>
    <row r="189" spans="1:715" s="2" customFormat="1" ht="50" customHeight="1">
      <c r="A189" s="8"/>
      <c r="B189" s="12"/>
      <c r="C189" s="8"/>
      <c r="D189" s="8"/>
      <c r="E189" s="8"/>
      <c r="F189" s="8"/>
      <c r="G189" s="5"/>
      <c r="H189" s="5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  <c r="DB189" s="30"/>
      <c r="DC189" s="30"/>
      <c r="DD189" s="3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  <c r="AAA189" s="3"/>
      <c r="AAB189" s="3"/>
      <c r="AAC189" s="3"/>
      <c r="AAD189" s="3"/>
      <c r="AAE189" s="3"/>
      <c r="AAF189" s="3"/>
      <c r="AAG189" s="3"/>
      <c r="AAH189" s="3"/>
      <c r="AAI189" s="3"/>
      <c r="AAJ189" s="3"/>
      <c r="AAK189" s="3"/>
      <c r="AAL189" s="3"/>
      <c r="AAM189" s="3"/>
    </row>
    <row r="190" spans="1:715" s="2" customFormat="1" ht="50" customHeight="1">
      <c r="A190" s="8"/>
      <c r="B190" s="12"/>
      <c r="C190" s="8"/>
      <c r="D190" s="8"/>
      <c r="E190" s="8"/>
      <c r="F190" s="8"/>
      <c r="G190" s="5"/>
      <c r="H190" s="5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  <c r="DB190" s="30"/>
      <c r="DC190" s="30"/>
      <c r="DD190" s="30"/>
      <c r="DE190" s="30"/>
      <c r="DF190" s="30"/>
      <c r="DG190" s="30"/>
      <c r="DH190" s="30"/>
      <c r="DI190" s="30"/>
      <c r="DJ190" s="30"/>
      <c r="DK190" s="30"/>
      <c r="DL190" s="30"/>
      <c r="DM190" s="30"/>
      <c r="DN190" s="30"/>
      <c r="DO190" s="30"/>
      <c r="DP190" s="30"/>
      <c r="DQ190" s="30"/>
      <c r="DR190" s="30"/>
      <c r="DS190" s="30"/>
      <c r="DT190" s="30"/>
      <c r="DU190" s="30"/>
      <c r="DV190" s="30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  <c r="AAA190" s="3"/>
      <c r="AAB190" s="3"/>
      <c r="AAC190" s="3"/>
      <c r="AAD190" s="3"/>
      <c r="AAE190" s="3"/>
      <c r="AAF190" s="3"/>
      <c r="AAG190" s="3"/>
      <c r="AAH190" s="3"/>
      <c r="AAI190" s="3"/>
      <c r="AAJ190" s="3"/>
      <c r="AAK190" s="3"/>
      <c r="AAL190" s="3"/>
      <c r="AAM190" s="3"/>
    </row>
    <row r="191" spans="1:715" s="2" customFormat="1" ht="50" customHeight="1">
      <c r="A191" s="8"/>
      <c r="B191" s="12"/>
      <c r="C191" s="8"/>
      <c r="D191" s="8"/>
      <c r="E191" s="8"/>
      <c r="F191" s="8"/>
      <c r="G191" s="5"/>
      <c r="H191" s="5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0"/>
      <c r="CL191" s="30"/>
      <c r="CM191" s="30"/>
      <c r="CN191" s="30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0"/>
      <c r="DA191" s="30"/>
      <c r="DB191" s="30"/>
      <c r="DC191" s="30"/>
      <c r="DD191" s="3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  <c r="AAA191" s="3"/>
      <c r="AAB191" s="3"/>
      <c r="AAC191" s="3"/>
      <c r="AAD191" s="3"/>
      <c r="AAE191" s="3"/>
      <c r="AAF191" s="3"/>
      <c r="AAG191" s="3"/>
      <c r="AAH191" s="3"/>
      <c r="AAI191" s="3"/>
      <c r="AAJ191" s="3"/>
      <c r="AAK191" s="3"/>
      <c r="AAL191" s="3"/>
      <c r="AAM191" s="3"/>
    </row>
    <row r="192" spans="1:715" s="2" customFormat="1" ht="50" customHeight="1">
      <c r="A192" s="8"/>
      <c r="B192" s="12"/>
      <c r="C192" s="8"/>
      <c r="D192" s="8"/>
      <c r="E192" s="8"/>
      <c r="F192" s="8"/>
      <c r="G192" s="5"/>
      <c r="H192" s="5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  <c r="AAA192" s="3"/>
      <c r="AAB192" s="3"/>
      <c r="AAC192" s="3"/>
      <c r="AAD192" s="3"/>
      <c r="AAE192" s="3"/>
      <c r="AAF192" s="3"/>
      <c r="AAG192" s="3"/>
      <c r="AAH192" s="3"/>
      <c r="AAI192" s="3"/>
      <c r="AAJ192" s="3"/>
      <c r="AAK192" s="3"/>
      <c r="AAL192" s="3"/>
      <c r="AAM192" s="3"/>
    </row>
    <row r="193" spans="1:715" s="2" customFormat="1" ht="50" customHeight="1">
      <c r="A193" s="8"/>
      <c r="B193" s="12"/>
      <c r="C193" s="8"/>
      <c r="D193" s="8"/>
      <c r="E193" s="8"/>
      <c r="F193" s="8"/>
      <c r="G193" s="5"/>
      <c r="H193" s="5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  <c r="AAA193" s="3"/>
      <c r="AAB193" s="3"/>
      <c r="AAC193" s="3"/>
      <c r="AAD193" s="3"/>
      <c r="AAE193" s="3"/>
      <c r="AAF193" s="3"/>
      <c r="AAG193" s="3"/>
      <c r="AAH193" s="3"/>
      <c r="AAI193" s="3"/>
      <c r="AAJ193" s="3"/>
      <c r="AAK193" s="3"/>
      <c r="AAL193" s="3"/>
      <c r="AAM193" s="3"/>
    </row>
    <row r="194" spans="1:715" s="2" customFormat="1" ht="50" customHeight="1">
      <c r="A194" s="8"/>
      <c r="B194" s="12"/>
      <c r="C194" s="8"/>
      <c r="D194" s="8"/>
      <c r="E194" s="8"/>
      <c r="F194" s="8"/>
      <c r="G194" s="5"/>
      <c r="H194" s="5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  <c r="AAA194" s="3"/>
      <c r="AAB194" s="3"/>
      <c r="AAC194" s="3"/>
      <c r="AAD194" s="3"/>
      <c r="AAE194" s="3"/>
      <c r="AAF194" s="3"/>
      <c r="AAG194" s="3"/>
      <c r="AAH194" s="3"/>
      <c r="AAI194" s="3"/>
      <c r="AAJ194" s="3"/>
      <c r="AAK194" s="3"/>
      <c r="AAL194" s="3"/>
      <c r="AAM194" s="3"/>
    </row>
    <row r="195" spans="1:715" s="2" customFormat="1" ht="50" customHeight="1">
      <c r="A195" s="8"/>
      <c r="B195" s="12"/>
      <c r="C195" s="8"/>
      <c r="D195" s="8"/>
      <c r="E195" s="8"/>
      <c r="F195" s="8"/>
      <c r="G195" s="5"/>
      <c r="H195" s="5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  <c r="AAA195" s="3"/>
      <c r="AAB195" s="3"/>
      <c r="AAC195" s="3"/>
      <c r="AAD195" s="3"/>
      <c r="AAE195" s="3"/>
      <c r="AAF195" s="3"/>
      <c r="AAG195" s="3"/>
      <c r="AAH195" s="3"/>
      <c r="AAI195" s="3"/>
      <c r="AAJ195" s="3"/>
      <c r="AAK195" s="3"/>
      <c r="AAL195" s="3"/>
      <c r="AAM195" s="3"/>
    </row>
    <row r="196" spans="1:715" s="2" customFormat="1" ht="50" customHeight="1">
      <c r="A196" s="8"/>
      <c r="B196" s="12"/>
      <c r="C196" s="8"/>
      <c r="D196" s="8"/>
      <c r="E196" s="8"/>
      <c r="F196" s="8"/>
      <c r="G196" s="5"/>
      <c r="H196" s="5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  <c r="AAA196" s="3"/>
      <c r="AAB196" s="3"/>
      <c r="AAC196" s="3"/>
      <c r="AAD196" s="3"/>
      <c r="AAE196" s="3"/>
      <c r="AAF196" s="3"/>
      <c r="AAG196" s="3"/>
      <c r="AAH196" s="3"/>
      <c r="AAI196" s="3"/>
      <c r="AAJ196" s="3"/>
      <c r="AAK196" s="3"/>
      <c r="AAL196" s="3"/>
      <c r="AAM196" s="3"/>
    </row>
    <row r="197" spans="1:715" s="2" customFormat="1" ht="50" customHeight="1">
      <c r="A197" s="8"/>
      <c r="B197" s="12"/>
      <c r="C197" s="8"/>
      <c r="D197" s="8"/>
      <c r="E197" s="8"/>
      <c r="F197" s="8"/>
      <c r="G197" s="5"/>
      <c r="H197" s="5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  <c r="AAA197" s="3"/>
      <c r="AAB197" s="3"/>
      <c r="AAC197" s="3"/>
      <c r="AAD197" s="3"/>
      <c r="AAE197" s="3"/>
      <c r="AAF197" s="3"/>
      <c r="AAG197" s="3"/>
      <c r="AAH197" s="3"/>
      <c r="AAI197" s="3"/>
      <c r="AAJ197" s="3"/>
      <c r="AAK197" s="3"/>
      <c r="AAL197" s="3"/>
      <c r="AAM197" s="3"/>
    </row>
    <row r="198" spans="1:715" s="2" customFormat="1" ht="50" customHeight="1">
      <c r="A198" s="8"/>
      <c r="B198" s="12"/>
      <c r="C198" s="8"/>
      <c r="D198" s="8"/>
      <c r="E198" s="8"/>
      <c r="F198" s="8"/>
      <c r="G198" s="5"/>
      <c r="H198" s="5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  <c r="AAA198" s="3"/>
      <c r="AAB198" s="3"/>
      <c r="AAC198" s="3"/>
      <c r="AAD198" s="3"/>
      <c r="AAE198" s="3"/>
      <c r="AAF198" s="3"/>
      <c r="AAG198" s="3"/>
      <c r="AAH198" s="3"/>
      <c r="AAI198" s="3"/>
      <c r="AAJ198" s="3"/>
      <c r="AAK198" s="3"/>
      <c r="AAL198" s="3"/>
      <c r="AAM198" s="3"/>
    </row>
    <row r="199" spans="1:715" s="2" customFormat="1" ht="50" customHeight="1">
      <c r="A199" s="8"/>
      <c r="B199" s="12"/>
      <c r="C199" s="8"/>
      <c r="D199" s="8"/>
      <c r="E199" s="8"/>
      <c r="F199" s="8"/>
      <c r="G199" s="5"/>
      <c r="H199" s="5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  <c r="AAA199" s="3"/>
      <c r="AAB199" s="3"/>
      <c r="AAC199" s="3"/>
      <c r="AAD199" s="3"/>
      <c r="AAE199" s="3"/>
      <c r="AAF199" s="3"/>
      <c r="AAG199" s="3"/>
      <c r="AAH199" s="3"/>
      <c r="AAI199" s="3"/>
      <c r="AAJ199" s="3"/>
      <c r="AAK199" s="3"/>
      <c r="AAL199" s="3"/>
      <c r="AAM199" s="3"/>
    </row>
    <row r="200" spans="1:715" s="2" customFormat="1" ht="50" customHeight="1">
      <c r="A200" s="8"/>
      <c r="B200" s="12"/>
      <c r="C200" s="8"/>
      <c r="D200" s="8"/>
      <c r="E200" s="8"/>
      <c r="F200" s="8"/>
      <c r="G200" s="5"/>
      <c r="H200" s="5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  <c r="AAA200" s="3"/>
      <c r="AAB200" s="3"/>
      <c r="AAC200" s="3"/>
      <c r="AAD200" s="3"/>
      <c r="AAE200" s="3"/>
      <c r="AAF200" s="3"/>
      <c r="AAG200" s="3"/>
      <c r="AAH200" s="3"/>
      <c r="AAI200" s="3"/>
      <c r="AAJ200" s="3"/>
      <c r="AAK200" s="3"/>
      <c r="AAL200" s="3"/>
      <c r="AAM200" s="3"/>
    </row>
    <row r="201" spans="1:715" s="2" customFormat="1" ht="50" customHeight="1">
      <c r="A201" s="8"/>
      <c r="B201" s="12"/>
      <c r="C201" s="8"/>
      <c r="D201" s="8"/>
      <c r="E201" s="8"/>
      <c r="F201" s="8"/>
      <c r="G201" s="5"/>
      <c r="H201" s="5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  <c r="AAA201" s="3"/>
      <c r="AAB201" s="3"/>
      <c r="AAC201" s="3"/>
      <c r="AAD201" s="3"/>
      <c r="AAE201" s="3"/>
      <c r="AAF201" s="3"/>
      <c r="AAG201" s="3"/>
      <c r="AAH201" s="3"/>
      <c r="AAI201" s="3"/>
      <c r="AAJ201" s="3"/>
      <c r="AAK201" s="3"/>
      <c r="AAL201" s="3"/>
      <c r="AAM201" s="3"/>
    </row>
    <row r="202" spans="1:715" s="2" customFormat="1" ht="50" customHeight="1">
      <c r="A202" s="8"/>
      <c r="B202" s="12"/>
      <c r="C202" s="8"/>
      <c r="D202" s="8"/>
      <c r="E202" s="8"/>
      <c r="F202" s="8"/>
      <c r="G202" s="5"/>
      <c r="H202" s="5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  <c r="AAA202" s="3"/>
      <c r="AAB202" s="3"/>
      <c r="AAC202" s="3"/>
      <c r="AAD202" s="3"/>
      <c r="AAE202" s="3"/>
      <c r="AAF202" s="3"/>
      <c r="AAG202" s="3"/>
      <c r="AAH202" s="3"/>
      <c r="AAI202" s="3"/>
      <c r="AAJ202" s="3"/>
      <c r="AAK202" s="3"/>
      <c r="AAL202" s="3"/>
      <c r="AAM202" s="3"/>
    </row>
    <row r="203" spans="1:715" s="2" customFormat="1" ht="50" customHeight="1">
      <c r="A203" s="8"/>
      <c r="B203" s="12"/>
      <c r="C203" s="8"/>
      <c r="D203" s="8"/>
      <c r="E203" s="8"/>
      <c r="F203" s="8"/>
      <c r="G203" s="5"/>
      <c r="H203" s="5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  <c r="AAA203" s="3"/>
      <c r="AAB203" s="3"/>
      <c r="AAC203" s="3"/>
      <c r="AAD203" s="3"/>
      <c r="AAE203" s="3"/>
      <c r="AAF203" s="3"/>
      <c r="AAG203" s="3"/>
      <c r="AAH203" s="3"/>
      <c r="AAI203" s="3"/>
      <c r="AAJ203" s="3"/>
      <c r="AAK203" s="3"/>
      <c r="AAL203" s="3"/>
      <c r="AAM203" s="3"/>
    </row>
    <row r="204" spans="1:715" s="2" customFormat="1" ht="50" customHeight="1">
      <c r="A204" s="8"/>
      <c r="B204" s="12"/>
      <c r="C204" s="8"/>
      <c r="D204" s="8"/>
      <c r="E204" s="8"/>
      <c r="F204" s="8"/>
      <c r="G204" s="5"/>
      <c r="H204" s="5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  <c r="AAA204" s="3"/>
      <c r="AAB204" s="3"/>
      <c r="AAC204" s="3"/>
      <c r="AAD204" s="3"/>
      <c r="AAE204" s="3"/>
      <c r="AAF204" s="3"/>
      <c r="AAG204" s="3"/>
      <c r="AAH204" s="3"/>
      <c r="AAI204" s="3"/>
      <c r="AAJ204" s="3"/>
      <c r="AAK204" s="3"/>
      <c r="AAL204" s="3"/>
      <c r="AAM204" s="3"/>
    </row>
    <row r="205" spans="1:715" s="2" customFormat="1" ht="50" customHeight="1">
      <c r="A205" s="8"/>
      <c r="B205" s="12"/>
      <c r="C205" s="8"/>
      <c r="D205" s="8"/>
      <c r="E205" s="8"/>
      <c r="F205" s="8"/>
      <c r="G205" s="5"/>
      <c r="H205" s="5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  <c r="AAA205" s="3"/>
      <c r="AAB205" s="3"/>
      <c r="AAC205" s="3"/>
      <c r="AAD205" s="3"/>
      <c r="AAE205" s="3"/>
      <c r="AAF205" s="3"/>
      <c r="AAG205" s="3"/>
      <c r="AAH205" s="3"/>
      <c r="AAI205" s="3"/>
      <c r="AAJ205" s="3"/>
      <c r="AAK205" s="3"/>
      <c r="AAL205" s="3"/>
      <c r="AAM205" s="3"/>
    </row>
    <row r="206" spans="1:715" s="2" customFormat="1" ht="50" customHeight="1">
      <c r="A206" s="8"/>
      <c r="B206" s="12"/>
      <c r="C206" s="8"/>
      <c r="D206" s="8"/>
      <c r="E206" s="8"/>
      <c r="F206" s="8"/>
      <c r="G206" s="5"/>
      <c r="H206" s="5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  <c r="AAA206" s="3"/>
      <c r="AAB206" s="3"/>
      <c r="AAC206" s="3"/>
      <c r="AAD206" s="3"/>
      <c r="AAE206" s="3"/>
      <c r="AAF206" s="3"/>
      <c r="AAG206" s="3"/>
      <c r="AAH206" s="3"/>
      <c r="AAI206" s="3"/>
      <c r="AAJ206" s="3"/>
      <c r="AAK206" s="3"/>
      <c r="AAL206" s="3"/>
      <c r="AAM206" s="3"/>
    </row>
    <row r="207" spans="1:715" s="2" customFormat="1" ht="50" customHeight="1">
      <c r="A207" s="8"/>
      <c r="B207" s="12"/>
      <c r="C207" s="8"/>
      <c r="D207" s="8"/>
      <c r="E207" s="8"/>
      <c r="F207" s="8"/>
      <c r="G207" s="5"/>
      <c r="H207" s="5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  <c r="AAA207" s="3"/>
      <c r="AAB207" s="3"/>
      <c r="AAC207" s="3"/>
      <c r="AAD207" s="3"/>
      <c r="AAE207" s="3"/>
      <c r="AAF207" s="3"/>
      <c r="AAG207" s="3"/>
      <c r="AAH207" s="3"/>
      <c r="AAI207" s="3"/>
      <c r="AAJ207" s="3"/>
      <c r="AAK207" s="3"/>
      <c r="AAL207" s="3"/>
      <c r="AAM207" s="3"/>
    </row>
    <row r="208" spans="1:715" s="2" customFormat="1" ht="50" customHeight="1">
      <c r="A208" s="8"/>
      <c r="B208" s="12"/>
      <c r="C208" s="8"/>
      <c r="D208" s="8"/>
      <c r="E208" s="8"/>
      <c r="F208" s="8"/>
      <c r="G208" s="5"/>
      <c r="H208" s="5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  <c r="AAA208" s="3"/>
      <c r="AAB208" s="3"/>
      <c r="AAC208" s="3"/>
      <c r="AAD208" s="3"/>
      <c r="AAE208" s="3"/>
      <c r="AAF208" s="3"/>
      <c r="AAG208" s="3"/>
      <c r="AAH208" s="3"/>
      <c r="AAI208" s="3"/>
      <c r="AAJ208" s="3"/>
      <c r="AAK208" s="3"/>
      <c r="AAL208" s="3"/>
      <c r="AAM208" s="3"/>
    </row>
    <row r="209" spans="1:715" s="2" customFormat="1" ht="50" customHeight="1">
      <c r="A209" s="8"/>
      <c r="B209" s="12"/>
      <c r="C209" s="8"/>
      <c r="D209" s="8"/>
      <c r="E209" s="8"/>
      <c r="F209" s="8"/>
      <c r="G209" s="5"/>
      <c r="H209" s="5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  <c r="AAA209" s="3"/>
      <c r="AAB209" s="3"/>
      <c r="AAC209" s="3"/>
      <c r="AAD209" s="3"/>
      <c r="AAE209" s="3"/>
      <c r="AAF209" s="3"/>
      <c r="AAG209" s="3"/>
      <c r="AAH209" s="3"/>
      <c r="AAI209" s="3"/>
      <c r="AAJ209" s="3"/>
      <c r="AAK209" s="3"/>
      <c r="AAL209" s="3"/>
      <c r="AAM209" s="3"/>
    </row>
    <row r="210" spans="1:715" s="2" customFormat="1" ht="50" customHeight="1">
      <c r="A210" s="8"/>
      <c r="B210" s="12"/>
      <c r="C210" s="8"/>
      <c r="D210" s="8"/>
      <c r="E210" s="8"/>
      <c r="F210" s="8"/>
      <c r="G210" s="5"/>
      <c r="H210" s="5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  <c r="AAA210" s="3"/>
      <c r="AAB210" s="3"/>
      <c r="AAC210" s="3"/>
      <c r="AAD210" s="3"/>
      <c r="AAE210" s="3"/>
      <c r="AAF210" s="3"/>
      <c r="AAG210" s="3"/>
      <c r="AAH210" s="3"/>
      <c r="AAI210" s="3"/>
      <c r="AAJ210" s="3"/>
      <c r="AAK210" s="3"/>
      <c r="AAL210" s="3"/>
      <c r="AAM210" s="3"/>
    </row>
    <row r="211" spans="1:715" s="2" customFormat="1" ht="50" customHeight="1">
      <c r="A211" s="8"/>
      <c r="B211" s="12"/>
      <c r="C211" s="8"/>
      <c r="D211" s="8"/>
      <c r="E211" s="8"/>
      <c r="F211" s="8"/>
      <c r="G211" s="5"/>
      <c r="H211" s="5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  <c r="AAA211" s="3"/>
      <c r="AAB211" s="3"/>
      <c r="AAC211" s="3"/>
      <c r="AAD211" s="3"/>
      <c r="AAE211" s="3"/>
      <c r="AAF211" s="3"/>
      <c r="AAG211" s="3"/>
      <c r="AAH211" s="3"/>
      <c r="AAI211" s="3"/>
      <c r="AAJ211" s="3"/>
      <c r="AAK211" s="3"/>
      <c r="AAL211" s="3"/>
      <c r="AAM211" s="3"/>
    </row>
    <row r="212" spans="1:715" s="2" customFormat="1" ht="50" customHeight="1">
      <c r="A212" s="8"/>
      <c r="B212" s="12"/>
      <c r="C212" s="8"/>
      <c r="D212" s="8"/>
      <c r="E212" s="8"/>
      <c r="F212" s="8"/>
      <c r="G212" s="5"/>
      <c r="H212" s="5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  <c r="AAA212" s="3"/>
      <c r="AAB212" s="3"/>
      <c r="AAC212" s="3"/>
      <c r="AAD212" s="3"/>
      <c r="AAE212" s="3"/>
      <c r="AAF212" s="3"/>
      <c r="AAG212" s="3"/>
      <c r="AAH212" s="3"/>
      <c r="AAI212" s="3"/>
      <c r="AAJ212" s="3"/>
      <c r="AAK212" s="3"/>
      <c r="AAL212" s="3"/>
      <c r="AAM212" s="3"/>
    </row>
    <row r="213" spans="1:715" s="2" customFormat="1" ht="50" customHeight="1">
      <c r="A213" s="8"/>
      <c r="B213" s="12"/>
      <c r="C213" s="8"/>
      <c r="D213" s="8"/>
      <c r="E213" s="8"/>
      <c r="F213" s="8"/>
      <c r="G213" s="5"/>
      <c r="H213" s="5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  <c r="AAA213" s="3"/>
      <c r="AAB213" s="3"/>
      <c r="AAC213" s="3"/>
      <c r="AAD213" s="3"/>
      <c r="AAE213" s="3"/>
      <c r="AAF213" s="3"/>
      <c r="AAG213" s="3"/>
      <c r="AAH213" s="3"/>
      <c r="AAI213" s="3"/>
      <c r="AAJ213" s="3"/>
      <c r="AAK213" s="3"/>
      <c r="AAL213" s="3"/>
      <c r="AAM213" s="3"/>
    </row>
    <row r="214" spans="1:715" s="2" customFormat="1" ht="50" customHeight="1">
      <c r="A214" s="8"/>
      <c r="B214" s="12"/>
      <c r="C214" s="8"/>
      <c r="D214" s="8"/>
      <c r="E214" s="8"/>
      <c r="F214" s="8"/>
      <c r="G214" s="5"/>
      <c r="H214" s="5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  <c r="AAA214" s="3"/>
      <c r="AAB214" s="3"/>
      <c r="AAC214" s="3"/>
      <c r="AAD214" s="3"/>
      <c r="AAE214" s="3"/>
      <c r="AAF214" s="3"/>
      <c r="AAG214" s="3"/>
      <c r="AAH214" s="3"/>
      <c r="AAI214" s="3"/>
      <c r="AAJ214" s="3"/>
      <c r="AAK214" s="3"/>
      <c r="AAL214" s="3"/>
      <c r="AAM214" s="3"/>
    </row>
    <row r="215" spans="1:715" s="2" customFormat="1" ht="50" customHeight="1">
      <c r="A215" s="8"/>
      <c r="B215" s="12"/>
      <c r="C215" s="8"/>
      <c r="D215" s="8"/>
      <c r="E215" s="8"/>
      <c r="F215" s="8"/>
      <c r="G215" s="5"/>
      <c r="H215" s="5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  <c r="AAA215" s="3"/>
      <c r="AAB215" s="3"/>
      <c r="AAC215" s="3"/>
      <c r="AAD215" s="3"/>
      <c r="AAE215" s="3"/>
      <c r="AAF215" s="3"/>
      <c r="AAG215" s="3"/>
      <c r="AAH215" s="3"/>
      <c r="AAI215" s="3"/>
      <c r="AAJ215" s="3"/>
      <c r="AAK215" s="3"/>
      <c r="AAL215" s="3"/>
      <c r="AAM215" s="3"/>
    </row>
    <row r="216" spans="1:715" s="2" customFormat="1" ht="50" customHeight="1">
      <c r="A216" s="8"/>
      <c r="B216" s="12"/>
      <c r="C216" s="8"/>
      <c r="D216" s="8"/>
      <c r="E216" s="8"/>
      <c r="F216" s="8"/>
      <c r="G216" s="5"/>
      <c r="H216" s="5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  <c r="AAA216" s="3"/>
      <c r="AAB216" s="3"/>
      <c r="AAC216" s="3"/>
      <c r="AAD216" s="3"/>
      <c r="AAE216" s="3"/>
      <c r="AAF216" s="3"/>
      <c r="AAG216" s="3"/>
      <c r="AAH216" s="3"/>
      <c r="AAI216" s="3"/>
      <c r="AAJ216" s="3"/>
      <c r="AAK216" s="3"/>
      <c r="AAL216" s="3"/>
      <c r="AAM216" s="3"/>
    </row>
    <row r="217" spans="1:715" s="2" customFormat="1" ht="50" customHeight="1">
      <c r="A217" s="8"/>
      <c r="B217" s="12"/>
      <c r="C217" s="8"/>
      <c r="D217" s="8"/>
      <c r="E217" s="8"/>
      <c r="F217" s="8"/>
      <c r="G217" s="5"/>
      <c r="H217" s="5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  <c r="AAA217" s="3"/>
      <c r="AAB217" s="3"/>
      <c r="AAC217" s="3"/>
      <c r="AAD217" s="3"/>
      <c r="AAE217" s="3"/>
      <c r="AAF217" s="3"/>
      <c r="AAG217" s="3"/>
      <c r="AAH217" s="3"/>
      <c r="AAI217" s="3"/>
      <c r="AAJ217" s="3"/>
      <c r="AAK217" s="3"/>
      <c r="AAL217" s="3"/>
      <c r="AAM217" s="3"/>
    </row>
    <row r="218" spans="1:715" s="2" customFormat="1" ht="50" customHeight="1">
      <c r="A218" s="8"/>
      <c r="B218" s="12"/>
      <c r="C218" s="8"/>
      <c r="D218" s="8"/>
      <c r="E218" s="8"/>
      <c r="F218" s="8"/>
      <c r="G218" s="5"/>
      <c r="H218" s="5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  <c r="AAA218" s="3"/>
      <c r="AAB218" s="3"/>
      <c r="AAC218" s="3"/>
      <c r="AAD218" s="3"/>
      <c r="AAE218" s="3"/>
      <c r="AAF218" s="3"/>
      <c r="AAG218" s="3"/>
      <c r="AAH218" s="3"/>
      <c r="AAI218" s="3"/>
      <c r="AAJ218" s="3"/>
      <c r="AAK218" s="3"/>
      <c r="AAL218" s="3"/>
      <c r="AAM218" s="3"/>
    </row>
    <row r="219" spans="1:715" s="2" customFormat="1" ht="50" customHeight="1">
      <c r="A219" s="8"/>
      <c r="B219" s="12"/>
      <c r="C219" s="8"/>
      <c r="D219" s="8"/>
      <c r="E219" s="8"/>
      <c r="F219" s="8"/>
      <c r="G219" s="5"/>
      <c r="H219" s="5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  <c r="AAA219" s="3"/>
      <c r="AAB219" s="3"/>
      <c r="AAC219" s="3"/>
      <c r="AAD219" s="3"/>
      <c r="AAE219" s="3"/>
      <c r="AAF219" s="3"/>
      <c r="AAG219" s="3"/>
      <c r="AAH219" s="3"/>
      <c r="AAI219" s="3"/>
      <c r="AAJ219" s="3"/>
      <c r="AAK219" s="3"/>
      <c r="AAL219" s="3"/>
      <c r="AAM219" s="3"/>
    </row>
    <row r="220" spans="1:715" s="2" customFormat="1" ht="50" customHeight="1">
      <c r="A220" s="8"/>
      <c r="B220" s="12"/>
      <c r="C220" s="8"/>
      <c r="D220" s="8"/>
      <c r="E220" s="8"/>
      <c r="F220" s="8"/>
      <c r="G220" s="5"/>
      <c r="H220" s="5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  <c r="AAA220" s="3"/>
      <c r="AAB220" s="3"/>
      <c r="AAC220" s="3"/>
      <c r="AAD220" s="3"/>
      <c r="AAE220" s="3"/>
      <c r="AAF220" s="3"/>
      <c r="AAG220" s="3"/>
      <c r="AAH220" s="3"/>
      <c r="AAI220" s="3"/>
      <c r="AAJ220" s="3"/>
      <c r="AAK220" s="3"/>
      <c r="AAL220" s="3"/>
      <c r="AAM220" s="3"/>
    </row>
    <row r="221" spans="1:715" s="2" customFormat="1" ht="50" customHeight="1">
      <c r="A221" s="8"/>
      <c r="B221" s="12"/>
      <c r="C221" s="8"/>
      <c r="D221" s="8"/>
      <c r="E221" s="8"/>
      <c r="F221" s="8"/>
      <c r="G221" s="5"/>
      <c r="H221" s="5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  <c r="AAA221" s="3"/>
      <c r="AAB221" s="3"/>
      <c r="AAC221" s="3"/>
      <c r="AAD221" s="3"/>
      <c r="AAE221" s="3"/>
      <c r="AAF221" s="3"/>
      <c r="AAG221" s="3"/>
      <c r="AAH221" s="3"/>
      <c r="AAI221" s="3"/>
      <c r="AAJ221" s="3"/>
      <c r="AAK221" s="3"/>
      <c r="AAL221" s="3"/>
      <c r="AAM221" s="3"/>
    </row>
    <row r="222" spans="1:715" s="2" customFormat="1" ht="50" customHeight="1">
      <c r="A222" s="8"/>
      <c r="B222" s="12"/>
      <c r="C222" s="8"/>
      <c r="D222" s="8"/>
      <c r="E222" s="8"/>
      <c r="F222" s="8"/>
      <c r="G222" s="5"/>
      <c r="H222" s="5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  <c r="AAA222" s="3"/>
      <c r="AAB222" s="3"/>
      <c r="AAC222" s="3"/>
      <c r="AAD222" s="3"/>
      <c r="AAE222" s="3"/>
      <c r="AAF222" s="3"/>
      <c r="AAG222" s="3"/>
      <c r="AAH222" s="3"/>
      <c r="AAI222" s="3"/>
      <c r="AAJ222" s="3"/>
      <c r="AAK222" s="3"/>
      <c r="AAL222" s="3"/>
      <c r="AAM222" s="3"/>
    </row>
    <row r="223" spans="1:715" s="2" customFormat="1" ht="50" customHeight="1">
      <c r="A223" s="8"/>
      <c r="B223" s="12"/>
      <c r="C223" s="8"/>
      <c r="D223" s="8"/>
      <c r="E223" s="8"/>
      <c r="F223" s="8"/>
      <c r="G223" s="5"/>
      <c r="H223" s="5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  <c r="AAA223" s="3"/>
      <c r="AAB223" s="3"/>
      <c r="AAC223" s="3"/>
      <c r="AAD223" s="3"/>
      <c r="AAE223" s="3"/>
      <c r="AAF223" s="3"/>
      <c r="AAG223" s="3"/>
      <c r="AAH223" s="3"/>
      <c r="AAI223" s="3"/>
      <c r="AAJ223" s="3"/>
      <c r="AAK223" s="3"/>
      <c r="AAL223" s="3"/>
      <c r="AAM223" s="3"/>
    </row>
    <row r="224" spans="1:715" s="2" customFormat="1" ht="50" customHeight="1">
      <c r="A224" s="8"/>
      <c r="B224" s="12"/>
      <c r="C224" s="8"/>
      <c r="D224" s="8"/>
      <c r="E224" s="8"/>
      <c r="F224" s="8"/>
      <c r="G224" s="5"/>
      <c r="H224" s="5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  <c r="AAA224" s="3"/>
      <c r="AAB224" s="3"/>
      <c r="AAC224" s="3"/>
      <c r="AAD224" s="3"/>
      <c r="AAE224" s="3"/>
      <c r="AAF224" s="3"/>
      <c r="AAG224" s="3"/>
      <c r="AAH224" s="3"/>
      <c r="AAI224" s="3"/>
      <c r="AAJ224" s="3"/>
      <c r="AAK224" s="3"/>
      <c r="AAL224" s="3"/>
      <c r="AAM224" s="3"/>
    </row>
    <row r="225" spans="1:715" s="2" customFormat="1" ht="50" customHeight="1">
      <c r="A225" s="8"/>
      <c r="B225" s="12"/>
      <c r="C225" s="8"/>
      <c r="D225" s="8"/>
      <c r="E225" s="8"/>
      <c r="F225" s="8"/>
      <c r="G225" s="5"/>
      <c r="H225" s="5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  <c r="AAA225" s="3"/>
      <c r="AAB225" s="3"/>
      <c r="AAC225" s="3"/>
      <c r="AAD225" s="3"/>
      <c r="AAE225" s="3"/>
      <c r="AAF225" s="3"/>
      <c r="AAG225" s="3"/>
      <c r="AAH225" s="3"/>
      <c r="AAI225" s="3"/>
      <c r="AAJ225" s="3"/>
      <c r="AAK225" s="3"/>
      <c r="AAL225" s="3"/>
      <c r="AAM225" s="3"/>
    </row>
    <row r="226" spans="1:715" s="2" customFormat="1" ht="50" customHeight="1">
      <c r="A226" s="8"/>
      <c r="B226" s="12"/>
      <c r="C226" s="8"/>
      <c r="D226" s="8"/>
      <c r="E226" s="8"/>
      <c r="F226" s="8"/>
      <c r="G226" s="5"/>
      <c r="H226" s="5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  <c r="AAA226" s="3"/>
      <c r="AAB226" s="3"/>
      <c r="AAC226" s="3"/>
      <c r="AAD226" s="3"/>
      <c r="AAE226" s="3"/>
      <c r="AAF226" s="3"/>
      <c r="AAG226" s="3"/>
      <c r="AAH226" s="3"/>
      <c r="AAI226" s="3"/>
      <c r="AAJ226" s="3"/>
      <c r="AAK226" s="3"/>
      <c r="AAL226" s="3"/>
      <c r="AAM226" s="3"/>
    </row>
    <row r="227" spans="1:715" s="2" customFormat="1" ht="50" customHeight="1">
      <c r="A227" s="8"/>
      <c r="B227" s="12"/>
      <c r="C227" s="8"/>
      <c r="D227" s="8"/>
      <c r="E227" s="8"/>
      <c r="F227" s="8"/>
      <c r="G227" s="5"/>
      <c r="H227" s="5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  <c r="AAA227" s="3"/>
      <c r="AAB227" s="3"/>
      <c r="AAC227" s="3"/>
      <c r="AAD227" s="3"/>
      <c r="AAE227" s="3"/>
      <c r="AAF227" s="3"/>
      <c r="AAG227" s="3"/>
      <c r="AAH227" s="3"/>
      <c r="AAI227" s="3"/>
      <c r="AAJ227" s="3"/>
      <c r="AAK227" s="3"/>
      <c r="AAL227" s="3"/>
      <c r="AAM227" s="3"/>
    </row>
    <row r="228" spans="1:715" s="2" customFormat="1" ht="50" customHeight="1">
      <c r="A228" s="8"/>
      <c r="B228" s="12"/>
      <c r="C228" s="8"/>
      <c r="D228" s="8"/>
      <c r="E228" s="8"/>
      <c r="F228" s="8"/>
      <c r="G228" s="5"/>
      <c r="H228" s="5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  <c r="AAA228" s="3"/>
      <c r="AAB228" s="3"/>
      <c r="AAC228" s="3"/>
      <c r="AAD228" s="3"/>
      <c r="AAE228" s="3"/>
      <c r="AAF228" s="3"/>
      <c r="AAG228" s="3"/>
      <c r="AAH228" s="3"/>
      <c r="AAI228" s="3"/>
      <c r="AAJ228" s="3"/>
      <c r="AAK228" s="3"/>
      <c r="AAL228" s="3"/>
      <c r="AAM228" s="3"/>
    </row>
    <row r="229" spans="1:715" s="2" customFormat="1" ht="50" customHeight="1">
      <c r="A229" s="8"/>
      <c r="B229" s="12"/>
      <c r="C229" s="8"/>
      <c r="D229" s="8"/>
      <c r="E229" s="8"/>
      <c r="F229" s="8"/>
      <c r="G229" s="5"/>
      <c r="H229" s="5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  <c r="AAA229" s="3"/>
      <c r="AAB229" s="3"/>
      <c r="AAC229" s="3"/>
      <c r="AAD229" s="3"/>
      <c r="AAE229" s="3"/>
      <c r="AAF229" s="3"/>
      <c r="AAG229" s="3"/>
      <c r="AAH229" s="3"/>
      <c r="AAI229" s="3"/>
      <c r="AAJ229" s="3"/>
      <c r="AAK229" s="3"/>
      <c r="AAL229" s="3"/>
      <c r="AAM229" s="3"/>
    </row>
    <row r="230" spans="1:715" s="2" customFormat="1" ht="50" customHeight="1">
      <c r="A230" s="8"/>
      <c r="B230" s="12"/>
      <c r="C230" s="8"/>
      <c r="D230" s="8"/>
      <c r="E230" s="8"/>
      <c r="F230" s="8"/>
      <c r="G230" s="5"/>
      <c r="H230" s="5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  <c r="AAA230" s="3"/>
      <c r="AAB230" s="3"/>
      <c r="AAC230" s="3"/>
      <c r="AAD230" s="3"/>
      <c r="AAE230" s="3"/>
      <c r="AAF230" s="3"/>
      <c r="AAG230" s="3"/>
      <c r="AAH230" s="3"/>
      <c r="AAI230" s="3"/>
      <c r="AAJ230" s="3"/>
      <c r="AAK230" s="3"/>
      <c r="AAL230" s="3"/>
      <c r="AAM230" s="3"/>
    </row>
    <row r="231" spans="1:715" s="2" customFormat="1" ht="50" customHeight="1">
      <c r="A231" s="8"/>
      <c r="B231" s="12"/>
      <c r="C231" s="8"/>
      <c r="D231" s="8"/>
      <c r="E231" s="8"/>
      <c r="F231" s="8"/>
      <c r="G231" s="5"/>
      <c r="H231" s="5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  <c r="AAA231" s="3"/>
      <c r="AAB231" s="3"/>
      <c r="AAC231" s="3"/>
      <c r="AAD231" s="3"/>
      <c r="AAE231" s="3"/>
      <c r="AAF231" s="3"/>
      <c r="AAG231" s="3"/>
      <c r="AAH231" s="3"/>
      <c r="AAI231" s="3"/>
      <c r="AAJ231" s="3"/>
      <c r="AAK231" s="3"/>
      <c r="AAL231" s="3"/>
      <c r="AAM231" s="3"/>
    </row>
    <row r="232" spans="1:715" s="2" customFormat="1" ht="50" customHeight="1">
      <c r="A232" s="8"/>
      <c r="B232" s="12"/>
      <c r="C232" s="8"/>
      <c r="D232" s="8"/>
      <c r="E232" s="8"/>
      <c r="F232" s="8"/>
      <c r="G232" s="5"/>
      <c r="H232" s="5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  <c r="AAA232" s="3"/>
      <c r="AAB232" s="3"/>
      <c r="AAC232" s="3"/>
      <c r="AAD232" s="3"/>
      <c r="AAE232" s="3"/>
      <c r="AAF232" s="3"/>
      <c r="AAG232" s="3"/>
      <c r="AAH232" s="3"/>
      <c r="AAI232" s="3"/>
      <c r="AAJ232" s="3"/>
      <c r="AAK232" s="3"/>
      <c r="AAL232" s="3"/>
      <c r="AAM232" s="3"/>
    </row>
    <row r="233" spans="1:715" s="2" customFormat="1" ht="50" customHeight="1">
      <c r="A233" s="8"/>
      <c r="B233" s="12"/>
      <c r="C233" s="8"/>
      <c r="D233" s="8"/>
      <c r="E233" s="8"/>
      <c r="F233" s="8"/>
      <c r="G233" s="5"/>
      <c r="H233" s="5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  <c r="AAA233" s="3"/>
      <c r="AAB233" s="3"/>
      <c r="AAC233" s="3"/>
      <c r="AAD233" s="3"/>
      <c r="AAE233" s="3"/>
      <c r="AAF233" s="3"/>
      <c r="AAG233" s="3"/>
      <c r="AAH233" s="3"/>
      <c r="AAI233" s="3"/>
      <c r="AAJ233" s="3"/>
      <c r="AAK233" s="3"/>
      <c r="AAL233" s="3"/>
      <c r="AAM233" s="3"/>
    </row>
    <row r="234" spans="1:715" s="2" customFormat="1" ht="50" customHeight="1">
      <c r="A234" s="8"/>
      <c r="B234" s="12"/>
      <c r="C234" s="8"/>
      <c r="D234" s="8"/>
      <c r="E234" s="8"/>
      <c r="F234" s="8"/>
      <c r="G234" s="5"/>
      <c r="H234" s="5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  <c r="AAA234" s="3"/>
      <c r="AAB234" s="3"/>
      <c r="AAC234" s="3"/>
      <c r="AAD234" s="3"/>
      <c r="AAE234" s="3"/>
      <c r="AAF234" s="3"/>
      <c r="AAG234" s="3"/>
      <c r="AAH234" s="3"/>
      <c r="AAI234" s="3"/>
      <c r="AAJ234" s="3"/>
      <c r="AAK234" s="3"/>
      <c r="AAL234" s="3"/>
      <c r="AAM234" s="3"/>
    </row>
    <row r="235" spans="1:715" s="2" customFormat="1" ht="50" customHeight="1">
      <c r="A235" s="8"/>
      <c r="B235" s="12"/>
      <c r="C235" s="8"/>
      <c r="D235" s="8"/>
      <c r="E235" s="8"/>
      <c r="F235" s="8"/>
      <c r="G235" s="5"/>
      <c r="H235" s="5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  <c r="AAA235" s="3"/>
      <c r="AAB235" s="3"/>
      <c r="AAC235" s="3"/>
      <c r="AAD235" s="3"/>
      <c r="AAE235" s="3"/>
      <c r="AAF235" s="3"/>
      <c r="AAG235" s="3"/>
      <c r="AAH235" s="3"/>
      <c r="AAI235" s="3"/>
      <c r="AAJ235" s="3"/>
      <c r="AAK235" s="3"/>
      <c r="AAL235" s="3"/>
      <c r="AAM235" s="3"/>
    </row>
    <row r="236" spans="1:715" s="2" customFormat="1" ht="50" customHeight="1">
      <c r="A236" s="8"/>
      <c r="B236" s="12"/>
      <c r="C236" s="8"/>
      <c r="D236" s="8"/>
      <c r="E236" s="8"/>
      <c r="F236" s="8"/>
      <c r="G236" s="5"/>
      <c r="H236" s="5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  <c r="AAA236" s="3"/>
      <c r="AAB236" s="3"/>
      <c r="AAC236" s="3"/>
      <c r="AAD236" s="3"/>
      <c r="AAE236" s="3"/>
      <c r="AAF236" s="3"/>
      <c r="AAG236" s="3"/>
      <c r="AAH236" s="3"/>
      <c r="AAI236" s="3"/>
      <c r="AAJ236" s="3"/>
      <c r="AAK236" s="3"/>
      <c r="AAL236" s="3"/>
      <c r="AAM236" s="3"/>
    </row>
    <row r="237" spans="1:715" s="2" customFormat="1" ht="50" customHeight="1">
      <c r="A237" s="8"/>
      <c r="B237" s="12"/>
      <c r="C237" s="8"/>
      <c r="D237" s="8"/>
      <c r="E237" s="8"/>
      <c r="F237" s="8"/>
      <c r="G237" s="5"/>
      <c r="H237" s="5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  <c r="AAA237" s="3"/>
      <c r="AAB237" s="3"/>
      <c r="AAC237" s="3"/>
      <c r="AAD237" s="3"/>
      <c r="AAE237" s="3"/>
      <c r="AAF237" s="3"/>
      <c r="AAG237" s="3"/>
      <c r="AAH237" s="3"/>
      <c r="AAI237" s="3"/>
      <c r="AAJ237" s="3"/>
      <c r="AAK237" s="3"/>
      <c r="AAL237" s="3"/>
      <c r="AAM237" s="3"/>
    </row>
    <row r="238" spans="1:715" s="2" customFormat="1" ht="50" customHeight="1">
      <c r="A238" s="8"/>
      <c r="B238" s="12"/>
      <c r="C238" s="8"/>
      <c r="D238" s="8"/>
      <c r="E238" s="8"/>
      <c r="F238" s="8"/>
      <c r="G238" s="5"/>
      <c r="H238" s="5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  <c r="AAA238" s="3"/>
      <c r="AAB238" s="3"/>
      <c r="AAC238" s="3"/>
      <c r="AAD238" s="3"/>
      <c r="AAE238" s="3"/>
      <c r="AAF238" s="3"/>
      <c r="AAG238" s="3"/>
      <c r="AAH238" s="3"/>
      <c r="AAI238" s="3"/>
      <c r="AAJ238" s="3"/>
      <c r="AAK238" s="3"/>
      <c r="AAL238" s="3"/>
      <c r="AAM238" s="3"/>
    </row>
    <row r="239" spans="1:715" s="2" customFormat="1" ht="50" customHeight="1">
      <c r="A239" s="8"/>
      <c r="B239" s="12"/>
      <c r="C239" s="8"/>
      <c r="D239" s="8"/>
      <c r="E239" s="8"/>
      <c r="F239" s="8"/>
      <c r="G239" s="5"/>
      <c r="H239" s="5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  <c r="AAA239" s="3"/>
      <c r="AAB239" s="3"/>
      <c r="AAC239" s="3"/>
      <c r="AAD239" s="3"/>
      <c r="AAE239" s="3"/>
      <c r="AAF239" s="3"/>
      <c r="AAG239" s="3"/>
      <c r="AAH239" s="3"/>
      <c r="AAI239" s="3"/>
      <c r="AAJ239" s="3"/>
      <c r="AAK239" s="3"/>
      <c r="AAL239" s="3"/>
      <c r="AAM239" s="3"/>
    </row>
    <row r="240" spans="1:715" s="2" customFormat="1" ht="50" customHeight="1">
      <c r="A240" s="8"/>
      <c r="B240" s="12"/>
      <c r="C240" s="8"/>
      <c r="D240" s="8"/>
      <c r="E240" s="8"/>
      <c r="F240" s="8"/>
      <c r="G240" s="5"/>
      <c r="H240" s="5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  <c r="AAA240" s="3"/>
      <c r="AAB240" s="3"/>
      <c r="AAC240" s="3"/>
      <c r="AAD240" s="3"/>
      <c r="AAE240" s="3"/>
      <c r="AAF240" s="3"/>
      <c r="AAG240" s="3"/>
      <c r="AAH240" s="3"/>
      <c r="AAI240" s="3"/>
      <c r="AAJ240" s="3"/>
      <c r="AAK240" s="3"/>
      <c r="AAL240" s="3"/>
      <c r="AAM240" s="3"/>
    </row>
    <row r="241" spans="1:715" s="2" customFormat="1" ht="50" customHeight="1">
      <c r="A241" s="8"/>
      <c r="B241" s="12"/>
      <c r="C241" s="8"/>
      <c r="D241" s="8"/>
      <c r="E241" s="8"/>
      <c r="F241" s="8"/>
      <c r="G241" s="5"/>
      <c r="H241" s="5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  <c r="AAA241" s="3"/>
      <c r="AAB241" s="3"/>
      <c r="AAC241" s="3"/>
      <c r="AAD241" s="3"/>
      <c r="AAE241" s="3"/>
      <c r="AAF241" s="3"/>
      <c r="AAG241" s="3"/>
      <c r="AAH241" s="3"/>
      <c r="AAI241" s="3"/>
      <c r="AAJ241" s="3"/>
      <c r="AAK241" s="3"/>
      <c r="AAL241" s="3"/>
      <c r="AAM241" s="3"/>
    </row>
    <row r="242" spans="1:715" s="2" customFormat="1" ht="50" customHeight="1">
      <c r="A242" s="8"/>
      <c r="B242" s="12"/>
      <c r="C242" s="8"/>
      <c r="D242" s="8"/>
      <c r="E242" s="8"/>
      <c r="F242" s="8"/>
      <c r="G242" s="5"/>
      <c r="H242" s="5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  <c r="AAA242" s="3"/>
      <c r="AAB242" s="3"/>
      <c r="AAC242" s="3"/>
      <c r="AAD242" s="3"/>
      <c r="AAE242" s="3"/>
      <c r="AAF242" s="3"/>
      <c r="AAG242" s="3"/>
      <c r="AAH242" s="3"/>
      <c r="AAI242" s="3"/>
      <c r="AAJ242" s="3"/>
      <c r="AAK242" s="3"/>
      <c r="AAL242" s="3"/>
      <c r="AAM242" s="3"/>
    </row>
    <row r="243" spans="1:715" s="2" customFormat="1" ht="50" customHeight="1">
      <c r="A243" s="8"/>
      <c r="B243" s="12"/>
      <c r="C243" s="8"/>
      <c r="D243" s="8"/>
      <c r="E243" s="8"/>
      <c r="F243" s="8"/>
      <c r="G243" s="5"/>
      <c r="H243" s="5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  <c r="AAA243" s="3"/>
      <c r="AAB243" s="3"/>
      <c r="AAC243" s="3"/>
      <c r="AAD243" s="3"/>
      <c r="AAE243" s="3"/>
      <c r="AAF243" s="3"/>
      <c r="AAG243" s="3"/>
      <c r="AAH243" s="3"/>
      <c r="AAI243" s="3"/>
      <c r="AAJ243" s="3"/>
      <c r="AAK243" s="3"/>
      <c r="AAL243" s="3"/>
      <c r="AAM243" s="3"/>
    </row>
    <row r="244" spans="1:715" s="2" customFormat="1" ht="50" customHeight="1">
      <c r="A244" s="8"/>
      <c r="B244" s="12"/>
      <c r="C244" s="8"/>
      <c r="D244" s="8"/>
      <c r="E244" s="8"/>
      <c r="F244" s="8"/>
      <c r="G244" s="5"/>
      <c r="H244" s="5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  <c r="AAA244" s="3"/>
      <c r="AAB244" s="3"/>
      <c r="AAC244" s="3"/>
      <c r="AAD244" s="3"/>
      <c r="AAE244" s="3"/>
      <c r="AAF244" s="3"/>
      <c r="AAG244" s="3"/>
      <c r="AAH244" s="3"/>
      <c r="AAI244" s="3"/>
      <c r="AAJ244" s="3"/>
      <c r="AAK244" s="3"/>
      <c r="AAL244" s="3"/>
      <c r="AAM244" s="3"/>
    </row>
    <row r="245" spans="1:715" s="2" customFormat="1" ht="50" customHeight="1">
      <c r="A245" s="8"/>
      <c r="B245" s="12"/>
      <c r="C245" s="8"/>
      <c r="D245" s="8"/>
      <c r="E245" s="8"/>
      <c r="F245" s="8"/>
      <c r="G245" s="5"/>
      <c r="H245" s="5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  <c r="AAA245" s="3"/>
      <c r="AAB245" s="3"/>
      <c r="AAC245" s="3"/>
      <c r="AAD245" s="3"/>
      <c r="AAE245" s="3"/>
      <c r="AAF245" s="3"/>
      <c r="AAG245" s="3"/>
      <c r="AAH245" s="3"/>
      <c r="AAI245" s="3"/>
      <c r="AAJ245" s="3"/>
      <c r="AAK245" s="3"/>
      <c r="AAL245" s="3"/>
      <c r="AAM245" s="3"/>
    </row>
    <row r="246" spans="1:715" s="2" customFormat="1" ht="50" customHeight="1">
      <c r="A246" s="8"/>
      <c r="B246" s="12"/>
      <c r="C246" s="8"/>
      <c r="D246" s="8"/>
      <c r="E246" s="8"/>
      <c r="F246" s="8"/>
      <c r="G246" s="5"/>
      <c r="H246" s="5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  <c r="AAA246" s="3"/>
      <c r="AAB246" s="3"/>
      <c r="AAC246" s="3"/>
      <c r="AAD246" s="3"/>
      <c r="AAE246" s="3"/>
      <c r="AAF246" s="3"/>
      <c r="AAG246" s="3"/>
      <c r="AAH246" s="3"/>
      <c r="AAI246" s="3"/>
      <c r="AAJ246" s="3"/>
      <c r="AAK246" s="3"/>
      <c r="AAL246" s="3"/>
      <c r="AAM246" s="3"/>
    </row>
    <row r="247" spans="1:715" s="2" customFormat="1" ht="50" customHeight="1">
      <c r="A247" s="8"/>
      <c r="B247" s="12"/>
      <c r="C247" s="8"/>
      <c r="D247" s="8"/>
      <c r="E247" s="8"/>
      <c r="F247" s="8"/>
      <c r="G247" s="5"/>
      <c r="H247" s="5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  <c r="AAA247" s="3"/>
      <c r="AAB247" s="3"/>
      <c r="AAC247" s="3"/>
      <c r="AAD247" s="3"/>
      <c r="AAE247" s="3"/>
      <c r="AAF247" s="3"/>
      <c r="AAG247" s="3"/>
      <c r="AAH247" s="3"/>
      <c r="AAI247" s="3"/>
      <c r="AAJ247" s="3"/>
      <c r="AAK247" s="3"/>
      <c r="AAL247" s="3"/>
      <c r="AAM247" s="3"/>
    </row>
    <row r="248" spans="1:715" s="2" customFormat="1" ht="50" customHeight="1">
      <c r="A248" s="8"/>
      <c r="B248" s="12"/>
      <c r="C248" s="8"/>
      <c r="D248" s="8"/>
      <c r="E248" s="8"/>
      <c r="F248" s="8"/>
      <c r="G248" s="5"/>
      <c r="H248" s="5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  <c r="AAA248" s="3"/>
      <c r="AAB248" s="3"/>
      <c r="AAC248" s="3"/>
      <c r="AAD248" s="3"/>
      <c r="AAE248" s="3"/>
      <c r="AAF248" s="3"/>
      <c r="AAG248" s="3"/>
      <c r="AAH248" s="3"/>
      <c r="AAI248" s="3"/>
      <c r="AAJ248" s="3"/>
      <c r="AAK248" s="3"/>
      <c r="AAL248" s="3"/>
      <c r="AAM248" s="3"/>
    </row>
    <row r="249" spans="1:715" s="2" customFormat="1" ht="50" customHeight="1">
      <c r="A249" s="8"/>
      <c r="B249" s="12"/>
      <c r="C249" s="8"/>
      <c r="D249" s="8"/>
      <c r="E249" s="8"/>
      <c r="F249" s="8"/>
      <c r="G249" s="5"/>
      <c r="H249" s="5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  <c r="AAA249" s="3"/>
      <c r="AAB249" s="3"/>
      <c r="AAC249" s="3"/>
      <c r="AAD249" s="3"/>
      <c r="AAE249" s="3"/>
      <c r="AAF249" s="3"/>
      <c r="AAG249" s="3"/>
      <c r="AAH249" s="3"/>
      <c r="AAI249" s="3"/>
      <c r="AAJ249" s="3"/>
      <c r="AAK249" s="3"/>
      <c r="AAL249" s="3"/>
      <c r="AAM249" s="3"/>
    </row>
    <row r="250" spans="1:715" s="2" customFormat="1" ht="50" customHeight="1">
      <c r="A250" s="8"/>
      <c r="B250" s="12"/>
      <c r="C250" s="8"/>
      <c r="D250" s="8"/>
      <c r="E250" s="8"/>
      <c r="F250" s="8"/>
      <c r="G250" s="5"/>
      <c r="H250" s="5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  <c r="AAA250" s="3"/>
      <c r="AAB250" s="3"/>
      <c r="AAC250" s="3"/>
      <c r="AAD250" s="3"/>
      <c r="AAE250" s="3"/>
      <c r="AAF250" s="3"/>
      <c r="AAG250" s="3"/>
      <c r="AAH250" s="3"/>
      <c r="AAI250" s="3"/>
      <c r="AAJ250" s="3"/>
      <c r="AAK250" s="3"/>
      <c r="AAL250" s="3"/>
      <c r="AAM250" s="3"/>
    </row>
    <row r="251" spans="1:715" s="2" customFormat="1" ht="50" customHeight="1">
      <c r="A251" s="8"/>
      <c r="B251" s="12"/>
      <c r="C251" s="8"/>
      <c r="D251" s="8"/>
      <c r="E251" s="8"/>
      <c r="F251" s="8"/>
      <c r="G251" s="5"/>
      <c r="H251" s="5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  <c r="AAA251" s="3"/>
      <c r="AAB251" s="3"/>
      <c r="AAC251" s="3"/>
      <c r="AAD251" s="3"/>
      <c r="AAE251" s="3"/>
      <c r="AAF251" s="3"/>
      <c r="AAG251" s="3"/>
      <c r="AAH251" s="3"/>
      <c r="AAI251" s="3"/>
      <c r="AAJ251" s="3"/>
      <c r="AAK251" s="3"/>
      <c r="AAL251" s="3"/>
      <c r="AAM251" s="3"/>
    </row>
    <row r="252" spans="1:715" s="2" customFormat="1" ht="50" customHeight="1">
      <c r="A252" s="8"/>
      <c r="B252" s="12"/>
      <c r="C252" s="8"/>
      <c r="D252" s="8"/>
      <c r="E252" s="8"/>
      <c r="F252" s="8"/>
      <c r="G252" s="5"/>
      <c r="H252" s="5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  <c r="AAA252" s="3"/>
      <c r="AAB252" s="3"/>
      <c r="AAC252" s="3"/>
      <c r="AAD252" s="3"/>
      <c r="AAE252" s="3"/>
      <c r="AAF252" s="3"/>
      <c r="AAG252" s="3"/>
      <c r="AAH252" s="3"/>
      <c r="AAI252" s="3"/>
      <c r="AAJ252" s="3"/>
      <c r="AAK252" s="3"/>
      <c r="AAL252" s="3"/>
      <c r="AAM252" s="3"/>
    </row>
    <row r="253" spans="1:715" s="2" customFormat="1" ht="50" customHeight="1">
      <c r="A253" s="8"/>
      <c r="B253" s="12"/>
      <c r="C253" s="8"/>
      <c r="D253" s="8"/>
      <c r="E253" s="8"/>
      <c r="F253" s="8"/>
      <c r="G253" s="5"/>
      <c r="H253" s="5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  <c r="AAA253" s="3"/>
      <c r="AAB253" s="3"/>
      <c r="AAC253" s="3"/>
      <c r="AAD253" s="3"/>
      <c r="AAE253" s="3"/>
      <c r="AAF253" s="3"/>
      <c r="AAG253" s="3"/>
      <c r="AAH253" s="3"/>
      <c r="AAI253" s="3"/>
      <c r="AAJ253" s="3"/>
      <c r="AAK253" s="3"/>
      <c r="AAL253" s="3"/>
      <c r="AAM253" s="3"/>
    </row>
    <row r="254" spans="1:715" s="2" customFormat="1" ht="50" customHeight="1">
      <c r="A254" s="8"/>
      <c r="B254" s="12"/>
      <c r="C254" s="8"/>
      <c r="D254" s="8"/>
      <c r="E254" s="8"/>
      <c r="F254" s="8"/>
      <c r="G254" s="5"/>
      <c r="H254" s="5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  <c r="AAA254" s="3"/>
      <c r="AAB254" s="3"/>
      <c r="AAC254" s="3"/>
      <c r="AAD254" s="3"/>
      <c r="AAE254" s="3"/>
      <c r="AAF254" s="3"/>
      <c r="AAG254" s="3"/>
      <c r="AAH254" s="3"/>
      <c r="AAI254" s="3"/>
      <c r="AAJ254" s="3"/>
      <c r="AAK254" s="3"/>
      <c r="AAL254" s="3"/>
      <c r="AAM254" s="3"/>
    </row>
    <row r="255" spans="1:715" s="2" customFormat="1" ht="50" customHeight="1">
      <c r="A255" s="8"/>
      <c r="B255" s="12"/>
      <c r="C255" s="8"/>
      <c r="D255" s="8"/>
      <c r="E255" s="8"/>
      <c r="F255" s="8"/>
      <c r="G255" s="5"/>
      <c r="H255" s="5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  <c r="AAA255" s="3"/>
      <c r="AAB255" s="3"/>
      <c r="AAC255" s="3"/>
      <c r="AAD255" s="3"/>
      <c r="AAE255" s="3"/>
      <c r="AAF255" s="3"/>
      <c r="AAG255" s="3"/>
      <c r="AAH255" s="3"/>
      <c r="AAI255" s="3"/>
      <c r="AAJ255" s="3"/>
      <c r="AAK255" s="3"/>
      <c r="AAL255" s="3"/>
      <c r="AAM255" s="3"/>
    </row>
    <row r="256" spans="1:715" s="2" customFormat="1" ht="50" customHeight="1">
      <c r="A256" s="8"/>
      <c r="B256" s="12"/>
      <c r="C256" s="8"/>
      <c r="D256" s="8"/>
      <c r="E256" s="8"/>
      <c r="F256" s="8"/>
      <c r="G256" s="5"/>
      <c r="H256" s="5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  <c r="AAA256" s="3"/>
      <c r="AAB256" s="3"/>
      <c r="AAC256" s="3"/>
      <c r="AAD256" s="3"/>
      <c r="AAE256" s="3"/>
      <c r="AAF256" s="3"/>
      <c r="AAG256" s="3"/>
      <c r="AAH256" s="3"/>
      <c r="AAI256" s="3"/>
      <c r="AAJ256" s="3"/>
      <c r="AAK256" s="3"/>
      <c r="AAL256" s="3"/>
      <c r="AAM256" s="3"/>
    </row>
    <row r="257" spans="1:715" s="2" customFormat="1" ht="50" customHeight="1">
      <c r="A257" s="8"/>
      <c r="B257" s="12"/>
      <c r="C257" s="8"/>
      <c r="D257" s="8"/>
      <c r="E257" s="8"/>
      <c r="F257" s="8"/>
      <c r="G257" s="5"/>
      <c r="H257" s="5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  <c r="AAA257" s="3"/>
      <c r="AAB257" s="3"/>
      <c r="AAC257" s="3"/>
      <c r="AAD257" s="3"/>
      <c r="AAE257" s="3"/>
      <c r="AAF257" s="3"/>
      <c r="AAG257" s="3"/>
      <c r="AAH257" s="3"/>
      <c r="AAI257" s="3"/>
      <c r="AAJ257" s="3"/>
      <c r="AAK257" s="3"/>
      <c r="AAL257" s="3"/>
      <c r="AAM257" s="3"/>
    </row>
    <row r="258" spans="1:715" s="2" customFormat="1" ht="50" customHeight="1">
      <c r="A258" s="8"/>
      <c r="B258" s="12"/>
      <c r="C258" s="8"/>
      <c r="D258" s="8"/>
      <c r="E258" s="8"/>
      <c r="F258" s="8"/>
      <c r="G258" s="5"/>
      <c r="H258" s="5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  <c r="AAA258" s="3"/>
      <c r="AAB258" s="3"/>
      <c r="AAC258" s="3"/>
      <c r="AAD258" s="3"/>
      <c r="AAE258" s="3"/>
      <c r="AAF258" s="3"/>
      <c r="AAG258" s="3"/>
      <c r="AAH258" s="3"/>
      <c r="AAI258" s="3"/>
      <c r="AAJ258" s="3"/>
      <c r="AAK258" s="3"/>
      <c r="AAL258" s="3"/>
      <c r="AAM258" s="3"/>
    </row>
    <row r="259" spans="1:715" s="2" customFormat="1" ht="50" customHeight="1">
      <c r="A259" s="8"/>
      <c r="B259" s="12"/>
      <c r="C259" s="8"/>
      <c r="D259" s="8"/>
      <c r="E259" s="8"/>
      <c r="F259" s="8"/>
      <c r="G259" s="5"/>
      <c r="H259" s="5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  <c r="AAA259" s="3"/>
      <c r="AAB259" s="3"/>
      <c r="AAC259" s="3"/>
      <c r="AAD259" s="3"/>
      <c r="AAE259" s="3"/>
      <c r="AAF259" s="3"/>
      <c r="AAG259" s="3"/>
      <c r="AAH259" s="3"/>
      <c r="AAI259" s="3"/>
      <c r="AAJ259" s="3"/>
      <c r="AAK259" s="3"/>
      <c r="AAL259" s="3"/>
      <c r="AAM259" s="3"/>
    </row>
    <row r="260" spans="1:715" s="2" customFormat="1" ht="50" customHeight="1">
      <c r="A260" s="8"/>
      <c r="B260" s="12"/>
      <c r="C260" s="8"/>
      <c r="D260" s="8"/>
      <c r="E260" s="8"/>
      <c r="F260" s="8"/>
      <c r="G260" s="5"/>
      <c r="H260" s="5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  <c r="AAA260" s="3"/>
      <c r="AAB260" s="3"/>
      <c r="AAC260" s="3"/>
      <c r="AAD260" s="3"/>
      <c r="AAE260" s="3"/>
      <c r="AAF260" s="3"/>
      <c r="AAG260" s="3"/>
      <c r="AAH260" s="3"/>
      <c r="AAI260" s="3"/>
      <c r="AAJ260" s="3"/>
      <c r="AAK260" s="3"/>
      <c r="AAL260" s="3"/>
      <c r="AAM260" s="3"/>
    </row>
    <row r="261" spans="1:715" s="2" customFormat="1" ht="50" customHeight="1">
      <c r="A261" s="8"/>
      <c r="B261" s="12"/>
      <c r="C261" s="8"/>
      <c r="D261" s="8"/>
      <c r="E261" s="8"/>
      <c r="F261" s="8"/>
      <c r="G261" s="5"/>
      <c r="H261" s="5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  <c r="AAA261" s="3"/>
      <c r="AAB261" s="3"/>
      <c r="AAC261" s="3"/>
      <c r="AAD261" s="3"/>
      <c r="AAE261" s="3"/>
      <c r="AAF261" s="3"/>
      <c r="AAG261" s="3"/>
      <c r="AAH261" s="3"/>
      <c r="AAI261" s="3"/>
      <c r="AAJ261" s="3"/>
      <c r="AAK261" s="3"/>
      <c r="AAL261" s="3"/>
      <c r="AAM261" s="3"/>
    </row>
    <row r="262" spans="1:715" s="2" customFormat="1" ht="50" customHeight="1">
      <c r="A262" s="8"/>
      <c r="B262" s="12"/>
      <c r="C262" s="8"/>
      <c r="D262" s="8"/>
      <c r="E262" s="8"/>
      <c r="F262" s="8"/>
      <c r="G262" s="5"/>
      <c r="H262" s="5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  <c r="AAA262" s="3"/>
      <c r="AAB262" s="3"/>
      <c r="AAC262" s="3"/>
      <c r="AAD262" s="3"/>
      <c r="AAE262" s="3"/>
      <c r="AAF262" s="3"/>
      <c r="AAG262" s="3"/>
      <c r="AAH262" s="3"/>
      <c r="AAI262" s="3"/>
      <c r="AAJ262" s="3"/>
      <c r="AAK262" s="3"/>
      <c r="AAL262" s="3"/>
      <c r="AAM262" s="3"/>
    </row>
    <row r="263" spans="1:715" s="2" customFormat="1" ht="50" customHeight="1">
      <c r="A263" s="8"/>
      <c r="B263" s="12"/>
      <c r="C263" s="8"/>
      <c r="D263" s="8"/>
      <c r="E263" s="8"/>
      <c r="F263" s="8"/>
      <c r="G263" s="5"/>
      <c r="H263" s="5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  <c r="AAA263" s="3"/>
      <c r="AAB263" s="3"/>
      <c r="AAC263" s="3"/>
      <c r="AAD263" s="3"/>
      <c r="AAE263" s="3"/>
      <c r="AAF263" s="3"/>
      <c r="AAG263" s="3"/>
      <c r="AAH263" s="3"/>
      <c r="AAI263" s="3"/>
      <c r="AAJ263" s="3"/>
      <c r="AAK263" s="3"/>
      <c r="AAL263" s="3"/>
      <c r="AAM263" s="3"/>
    </row>
    <row r="264" spans="1:715" s="2" customFormat="1" ht="50" customHeight="1">
      <c r="A264" s="8"/>
      <c r="B264" s="12"/>
      <c r="C264" s="8"/>
      <c r="D264" s="8"/>
      <c r="E264" s="8"/>
      <c r="F264" s="8"/>
      <c r="G264" s="5"/>
      <c r="H264" s="5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  <c r="AAA264" s="3"/>
      <c r="AAB264" s="3"/>
      <c r="AAC264" s="3"/>
      <c r="AAD264" s="3"/>
      <c r="AAE264" s="3"/>
      <c r="AAF264" s="3"/>
      <c r="AAG264" s="3"/>
      <c r="AAH264" s="3"/>
      <c r="AAI264" s="3"/>
      <c r="AAJ264" s="3"/>
      <c r="AAK264" s="3"/>
      <c r="AAL264" s="3"/>
      <c r="AAM264" s="3"/>
    </row>
    <row r="265" spans="1:715" s="2" customFormat="1" ht="50" customHeight="1">
      <c r="A265" s="8"/>
      <c r="B265" s="12"/>
      <c r="C265" s="8"/>
      <c r="D265" s="8"/>
      <c r="E265" s="8"/>
      <c r="F265" s="8"/>
      <c r="G265" s="5"/>
      <c r="H265" s="5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  <c r="AAA265" s="3"/>
      <c r="AAB265" s="3"/>
      <c r="AAC265" s="3"/>
      <c r="AAD265" s="3"/>
      <c r="AAE265" s="3"/>
      <c r="AAF265" s="3"/>
      <c r="AAG265" s="3"/>
      <c r="AAH265" s="3"/>
      <c r="AAI265" s="3"/>
      <c r="AAJ265" s="3"/>
      <c r="AAK265" s="3"/>
      <c r="AAL265" s="3"/>
      <c r="AAM265" s="3"/>
    </row>
    <row r="266" spans="1:715" s="2" customFormat="1" ht="50" customHeight="1">
      <c r="A266" s="8"/>
      <c r="B266" s="12"/>
      <c r="C266" s="8"/>
      <c r="D266" s="8"/>
      <c r="E266" s="8"/>
      <c r="F266" s="8"/>
      <c r="G266" s="5"/>
      <c r="H266" s="5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  <c r="AAA266" s="3"/>
      <c r="AAB266" s="3"/>
      <c r="AAC266" s="3"/>
      <c r="AAD266" s="3"/>
      <c r="AAE266" s="3"/>
      <c r="AAF266" s="3"/>
      <c r="AAG266" s="3"/>
      <c r="AAH266" s="3"/>
      <c r="AAI266" s="3"/>
      <c r="AAJ266" s="3"/>
      <c r="AAK266" s="3"/>
      <c r="AAL266" s="3"/>
      <c r="AAM266" s="3"/>
    </row>
    <row r="267" spans="1:715" s="2" customFormat="1" ht="50" customHeight="1">
      <c r="A267" s="8"/>
      <c r="B267" s="12"/>
      <c r="C267" s="8"/>
      <c r="D267" s="8"/>
      <c r="E267" s="8"/>
      <c r="F267" s="8"/>
      <c r="G267" s="5"/>
      <c r="H267" s="5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  <c r="AAA267" s="3"/>
      <c r="AAB267" s="3"/>
      <c r="AAC267" s="3"/>
      <c r="AAD267" s="3"/>
      <c r="AAE267" s="3"/>
      <c r="AAF267" s="3"/>
      <c r="AAG267" s="3"/>
      <c r="AAH267" s="3"/>
      <c r="AAI267" s="3"/>
      <c r="AAJ267" s="3"/>
      <c r="AAK267" s="3"/>
      <c r="AAL267" s="3"/>
      <c r="AAM267" s="3"/>
    </row>
    <row r="268" spans="1:715" s="2" customFormat="1" ht="50" customHeight="1">
      <c r="A268" s="8"/>
      <c r="B268" s="12"/>
      <c r="C268" s="8"/>
      <c r="D268" s="8"/>
      <c r="E268" s="8"/>
      <c r="F268" s="8"/>
      <c r="G268" s="5"/>
      <c r="H268" s="5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  <c r="AAA268" s="3"/>
      <c r="AAB268" s="3"/>
      <c r="AAC268" s="3"/>
      <c r="AAD268" s="3"/>
      <c r="AAE268" s="3"/>
      <c r="AAF268" s="3"/>
      <c r="AAG268" s="3"/>
      <c r="AAH268" s="3"/>
      <c r="AAI268" s="3"/>
      <c r="AAJ268" s="3"/>
      <c r="AAK268" s="3"/>
      <c r="AAL268" s="3"/>
      <c r="AAM268" s="3"/>
    </row>
    <row r="269" spans="1:715" s="2" customFormat="1" ht="50" customHeight="1">
      <c r="A269" s="8"/>
      <c r="B269" s="12"/>
      <c r="C269" s="8"/>
      <c r="D269" s="8"/>
      <c r="E269" s="8"/>
      <c r="F269" s="8"/>
      <c r="G269" s="5"/>
      <c r="H269" s="5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  <c r="AAA269" s="3"/>
      <c r="AAB269" s="3"/>
      <c r="AAC269" s="3"/>
      <c r="AAD269" s="3"/>
      <c r="AAE269" s="3"/>
      <c r="AAF269" s="3"/>
      <c r="AAG269" s="3"/>
      <c r="AAH269" s="3"/>
      <c r="AAI269" s="3"/>
      <c r="AAJ269" s="3"/>
      <c r="AAK269" s="3"/>
      <c r="AAL269" s="3"/>
      <c r="AAM269" s="3"/>
    </row>
    <row r="270" spans="1:715" s="2" customFormat="1" ht="50" customHeight="1">
      <c r="A270" s="8"/>
      <c r="B270" s="12"/>
      <c r="C270" s="8"/>
      <c r="D270" s="8"/>
      <c r="E270" s="8"/>
      <c r="F270" s="8"/>
      <c r="G270" s="5"/>
      <c r="H270" s="5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  <c r="AAA270" s="3"/>
      <c r="AAB270" s="3"/>
      <c r="AAC270" s="3"/>
      <c r="AAD270" s="3"/>
      <c r="AAE270" s="3"/>
      <c r="AAF270" s="3"/>
      <c r="AAG270" s="3"/>
      <c r="AAH270" s="3"/>
      <c r="AAI270" s="3"/>
      <c r="AAJ270" s="3"/>
      <c r="AAK270" s="3"/>
      <c r="AAL270" s="3"/>
      <c r="AAM270" s="3"/>
    </row>
    <row r="271" spans="1:715" s="2" customFormat="1" ht="50" customHeight="1">
      <c r="A271" s="8"/>
      <c r="B271" s="12"/>
      <c r="C271" s="8"/>
      <c r="D271" s="8"/>
      <c r="E271" s="8"/>
      <c r="F271" s="8"/>
      <c r="G271" s="5"/>
      <c r="H271" s="5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  <c r="AAA271" s="3"/>
      <c r="AAB271" s="3"/>
      <c r="AAC271" s="3"/>
      <c r="AAD271" s="3"/>
      <c r="AAE271" s="3"/>
      <c r="AAF271" s="3"/>
      <c r="AAG271" s="3"/>
      <c r="AAH271" s="3"/>
      <c r="AAI271" s="3"/>
      <c r="AAJ271" s="3"/>
      <c r="AAK271" s="3"/>
      <c r="AAL271" s="3"/>
      <c r="AAM271" s="3"/>
    </row>
    <row r="272" spans="1:715" s="2" customFormat="1" ht="50" customHeight="1">
      <c r="A272" s="8"/>
      <c r="B272" s="12"/>
      <c r="C272" s="8"/>
      <c r="D272" s="8"/>
      <c r="E272" s="8"/>
      <c r="F272" s="8"/>
      <c r="G272" s="5"/>
      <c r="H272" s="5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  <c r="AAA272" s="3"/>
      <c r="AAB272" s="3"/>
      <c r="AAC272" s="3"/>
      <c r="AAD272" s="3"/>
      <c r="AAE272" s="3"/>
      <c r="AAF272" s="3"/>
      <c r="AAG272" s="3"/>
      <c r="AAH272" s="3"/>
      <c r="AAI272" s="3"/>
      <c r="AAJ272" s="3"/>
      <c r="AAK272" s="3"/>
      <c r="AAL272" s="3"/>
      <c r="AAM272" s="3"/>
    </row>
    <row r="273" spans="1:715" s="2" customFormat="1" ht="50" customHeight="1">
      <c r="A273" s="8"/>
      <c r="B273" s="12"/>
      <c r="C273" s="8"/>
      <c r="D273" s="8"/>
      <c r="E273" s="8"/>
      <c r="F273" s="8"/>
      <c r="G273" s="5"/>
      <c r="H273" s="5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  <c r="AAA273" s="3"/>
      <c r="AAB273" s="3"/>
      <c r="AAC273" s="3"/>
      <c r="AAD273" s="3"/>
      <c r="AAE273" s="3"/>
      <c r="AAF273" s="3"/>
      <c r="AAG273" s="3"/>
      <c r="AAH273" s="3"/>
      <c r="AAI273" s="3"/>
      <c r="AAJ273" s="3"/>
      <c r="AAK273" s="3"/>
      <c r="AAL273" s="3"/>
      <c r="AAM273" s="3"/>
    </row>
    <row r="274" spans="1:715" s="2" customFormat="1" ht="50" customHeight="1">
      <c r="A274" s="8"/>
      <c r="B274" s="12"/>
      <c r="C274" s="8"/>
      <c r="D274" s="8"/>
      <c r="E274" s="8"/>
      <c r="F274" s="8"/>
      <c r="G274" s="5"/>
      <c r="H274" s="5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  <c r="AAA274" s="3"/>
      <c r="AAB274" s="3"/>
      <c r="AAC274" s="3"/>
      <c r="AAD274" s="3"/>
      <c r="AAE274" s="3"/>
      <c r="AAF274" s="3"/>
      <c r="AAG274" s="3"/>
      <c r="AAH274" s="3"/>
      <c r="AAI274" s="3"/>
      <c r="AAJ274" s="3"/>
      <c r="AAK274" s="3"/>
      <c r="AAL274" s="3"/>
      <c r="AAM274" s="3"/>
    </row>
    <row r="275" spans="1:715" s="2" customFormat="1" ht="50" customHeight="1">
      <c r="A275" s="8"/>
      <c r="B275" s="12"/>
      <c r="C275" s="8"/>
      <c r="D275" s="8"/>
      <c r="E275" s="8"/>
      <c r="F275" s="8"/>
      <c r="G275" s="5"/>
      <c r="H275" s="5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  <c r="AAA275" s="3"/>
      <c r="AAB275" s="3"/>
      <c r="AAC275" s="3"/>
      <c r="AAD275" s="3"/>
      <c r="AAE275" s="3"/>
      <c r="AAF275" s="3"/>
      <c r="AAG275" s="3"/>
      <c r="AAH275" s="3"/>
      <c r="AAI275" s="3"/>
      <c r="AAJ275" s="3"/>
      <c r="AAK275" s="3"/>
      <c r="AAL275" s="3"/>
      <c r="AAM275" s="3"/>
    </row>
    <row r="276" spans="1:715" s="2" customFormat="1" ht="50" customHeight="1">
      <c r="A276" s="8"/>
      <c r="B276" s="12"/>
      <c r="C276" s="8"/>
      <c r="D276" s="8"/>
      <c r="E276" s="8"/>
      <c r="F276" s="8"/>
      <c r="G276" s="5"/>
      <c r="H276" s="5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  <c r="AAA276" s="3"/>
      <c r="AAB276" s="3"/>
      <c r="AAC276" s="3"/>
      <c r="AAD276" s="3"/>
      <c r="AAE276" s="3"/>
      <c r="AAF276" s="3"/>
      <c r="AAG276" s="3"/>
      <c r="AAH276" s="3"/>
      <c r="AAI276" s="3"/>
      <c r="AAJ276" s="3"/>
      <c r="AAK276" s="3"/>
      <c r="AAL276" s="3"/>
      <c r="AAM276" s="3"/>
    </row>
    <row r="277" spans="1:715" s="2" customFormat="1" ht="50" customHeight="1">
      <c r="A277" s="8"/>
      <c r="B277" s="12"/>
      <c r="C277" s="8"/>
      <c r="D277" s="8"/>
      <c r="E277" s="8"/>
      <c r="F277" s="8"/>
      <c r="G277" s="5"/>
      <c r="H277" s="5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  <c r="AAA277" s="3"/>
      <c r="AAB277" s="3"/>
      <c r="AAC277" s="3"/>
      <c r="AAD277" s="3"/>
      <c r="AAE277" s="3"/>
      <c r="AAF277" s="3"/>
      <c r="AAG277" s="3"/>
      <c r="AAH277" s="3"/>
      <c r="AAI277" s="3"/>
      <c r="AAJ277" s="3"/>
      <c r="AAK277" s="3"/>
      <c r="AAL277" s="3"/>
      <c r="AAM277" s="3"/>
    </row>
    <row r="278" spans="1:715" s="2" customFormat="1" ht="50" customHeight="1">
      <c r="A278" s="8"/>
      <c r="B278" s="12"/>
      <c r="C278" s="8"/>
      <c r="D278" s="8"/>
      <c r="E278" s="8"/>
      <c r="F278" s="8"/>
      <c r="G278" s="5"/>
      <c r="H278" s="5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  <c r="AAA278" s="3"/>
      <c r="AAB278" s="3"/>
      <c r="AAC278" s="3"/>
      <c r="AAD278" s="3"/>
      <c r="AAE278" s="3"/>
      <c r="AAF278" s="3"/>
      <c r="AAG278" s="3"/>
      <c r="AAH278" s="3"/>
      <c r="AAI278" s="3"/>
      <c r="AAJ278" s="3"/>
      <c r="AAK278" s="3"/>
      <c r="AAL278" s="3"/>
      <c r="AAM278" s="3"/>
    </row>
    <row r="279" spans="1:715" s="2" customFormat="1" ht="50" customHeight="1">
      <c r="A279" s="8"/>
      <c r="B279" s="12"/>
      <c r="C279" s="8"/>
      <c r="D279" s="8"/>
      <c r="E279" s="8"/>
      <c r="F279" s="8"/>
      <c r="G279" s="5"/>
      <c r="H279" s="5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  <c r="AAA279" s="3"/>
      <c r="AAB279" s="3"/>
      <c r="AAC279" s="3"/>
      <c r="AAD279" s="3"/>
      <c r="AAE279" s="3"/>
      <c r="AAF279" s="3"/>
      <c r="AAG279" s="3"/>
      <c r="AAH279" s="3"/>
      <c r="AAI279" s="3"/>
      <c r="AAJ279" s="3"/>
      <c r="AAK279" s="3"/>
      <c r="AAL279" s="3"/>
      <c r="AAM279" s="3"/>
    </row>
    <row r="280" spans="1:715" s="2" customFormat="1" ht="50" customHeight="1">
      <c r="A280" s="8"/>
      <c r="B280" s="12"/>
      <c r="C280" s="8"/>
      <c r="D280" s="8"/>
      <c r="E280" s="8"/>
      <c r="F280" s="8"/>
      <c r="G280" s="5"/>
      <c r="H280" s="5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  <c r="AAA280" s="3"/>
      <c r="AAB280" s="3"/>
      <c r="AAC280" s="3"/>
      <c r="AAD280" s="3"/>
      <c r="AAE280" s="3"/>
      <c r="AAF280" s="3"/>
      <c r="AAG280" s="3"/>
      <c r="AAH280" s="3"/>
      <c r="AAI280" s="3"/>
      <c r="AAJ280" s="3"/>
      <c r="AAK280" s="3"/>
      <c r="AAL280" s="3"/>
      <c r="AAM280" s="3"/>
    </row>
    <row r="281" spans="1:715" s="2" customFormat="1" ht="50" customHeight="1">
      <c r="A281" s="8"/>
      <c r="B281" s="12"/>
      <c r="C281" s="8"/>
      <c r="D281" s="8"/>
      <c r="E281" s="8"/>
      <c r="F281" s="8"/>
      <c r="G281" s="5"/>
      <c r="H281" s="5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  <c r="AAA281" s="3"/>
      <c r="AAB281" s="3"/>
      <c r="AAC281" s="3"/>
      <c r="AAD281" s="3"/>
      <c r="AAE281" s="3"/>
      <c r="AAF281" s="3"/>
      <c r="AAG281" s="3"/>
      <c r="AAH281" s="3"/>
      <c r="AAI281" s="3"/>
      <c r="AAJ281" s="3"/>
      <c r="AAK281" s="3"/>
      <c r="AAL281" s="3"/>
      <c r="AAM281" s="3"/>
    </row>
    <row r="282" spans="1:715" s="2" customFormat="1" ht="50" customHeight="1">
      <c r="A282" s="8"/>
      <c r="B282" s="12"/>
      <c r="C282" s="8"/>
      <c r="D282" s="8"/>
      <c r="E282" s="8"/>
      <c r="F282" s="8"/>
      <c r="G282" s="5"/>
      <c r="H282" s="5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  <c r="AAA282" s="3"/>
      <c r="AAB282" s="3"/>
      <c r="AAC282" s="3"/>
      <c r="AAD282" s="3"/>
      <c r="AAE282" s="3"/>
      <c r="AAF282" s="3"/>
      <c r="AAG282" s="3"/>
      <c r="AAH282" s="3"/>
      <c r="AAI282" s="3"/>
      <c r="AAJ282" s="3"/>
      <c r="AAK282" s="3"/>
      <c r="AAL282" s="3"/>
      <c r="AAM282" s="3"/>
    </row>
    <row r="283" spans="1:715" s="2" customFormat="1" ht="50" customHeight="1">
      <c r="A283" s="8"/>
      <c r="B283" s="12"/>
      <c r="C283" s="8"/>
      <c r="D283" s="8"/>
      <c r="E283" s="8"/>
      <c r="F283" s="8"/>
      <c r="G283" s="5"/>
      <c r="H283" s="5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  <c r="AAA283" s="3"/>
      <c r="AAB283" s="3"/>
      <c r="AAC283" s="3"/>
      <c r="AAD283" s="3"/>
      <c r="AAE283" s="3"/>
      <c r="AAF283" s="3"/>
      <c r="AAG283" s="3"/>
      <c r="AAH283" s="3"/>
      <c r="AAI283" s="3"/>
      <c r="AAJ283" s="3"/>
      <c r="AAK283" s="3"/>
      <c r="AAL283" s="3"/>
      <c r="AAM283" s="3"/>
    </row>
    <row r="284" spans="1:715" s="2" customFormat="1" ht="50" customHeight="1">
      <c r="A284" s="8"/>
      <c r="B284" s="12"/>
      <c r="C284" s="8"/>
      <c r="D284" s="8"/>
      <c r="E284" s="8"/>
      <c r="F284" s="8"/>
      <c r="G284" s="5"/>
      <c r="H284" s="5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  <c r="AAA284" s="3"/>
      <c r="AAB284" s="3"/>
      <c r="AAC284" s="3"/>
      <c r="AAD284" s="3"/>
      <c r="AAE284" s="3"/>
      <c r="AAF284" s="3"/>
      <c r="AAG284" s="3"/>
      <c r="AAH284" s="3"/>
      <c r="AAI284" s="3"/>
      <c r="AAJ284" s="3"/>
      <c r="AAK284" s="3"/>
      <c r="AAL284" s="3"/>
      <c r="AAM284" s="3"/>
    </row>
    <row r="285" spans="1:715" s="2" customFormat="1" ht="50" customHeight="1">
      <c r="A285" s="8"/>
      <c r="B285" s="12"/>
      <c r="C285" s="8"/>
      <c r="D285" s="8"/>
      <c r="E285" s="8"/>
      <c r="F285" s="8"/>
      <c r="G285" s="5"/>
      <c r="H285" s="5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  <c r="AAA285" s="3"/>
      <c r="AAB285" s="3"/>
      <c r="AAC285" s="3"/>
      <c r="AAD285" s="3"/>
      <c r="AAE285" s="3"/>
      <c r="AAF285" s="3"/>
      <c r="AAG285" s="3"/>
      <c r="AAH285" s="3"/>
      <c r="AAI285" s="3"/>
      <c r="AAJ285" s="3"/>
      <c r="AAK285" s="3"/>
      <c r="AAL285" s="3"/>
      <c r="AAM285" s="3"/>
    </row>
    <row r="286" spans="1:715" s="2" customFormat="1" ht="50" customHeight="1">
      <c r="A286" s="8"/>
      <c r="B286" s="12"/>
      <c r="C286" s="8"/>
      <c r="D286" s="8"/>
      <c r="E286" s="8"/>
      <c r="F286" s="8"/>
      <c r="G286" s="5"/>
      <c r="H286" s="5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  <c r="AAA286" s="3"/>
      <c r="AAB286" s="3"/>
      <c r="AAC286" s="3"/>
      <c r="AAD286" s="3"/>
      <c r="AAE286" s="3"/>
      <c r="AAF286" s="3"/>
      <c r="AAG286" s="3"/>
      <c r="AAH286" s="3"/>
      <c r="AAI286" s="3"/>
      <c r="AAJ286" s="3"/>
      <c r="AAK286" s="3"/>
      <c r="AAL286" s="3"/>
      <c r="AAM286" s="3"/>
    </row>
    <row r="287" spans="1:715" s="2" customFormat="1" ht="50" customHeight="1">
      <c r="A287" s="8"/>
      <c r="B287" s="12"/>
      <c r="C287" s="8"/>
      <c r="D287" s="8"/>
      <c r="E287" s="8"/>
      <c r="F287" s="8"/>
      <c r="G287" s="5"/>
      <c r="H287" s="5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  <c r="AAA287" s="3"/>
      <c r="AAB287" s="3"/>
      <c r="AAC287" s="3"/>
      <c r="AAD287" s="3"/>
      <c r="AAE287" s="3"/>
      <c r="AAF287" s="3"/>
      <c r="AAG287" s="3"/>
      <c r="AAH287" s="3"/>
      <c r="AAI287" s="3"/>
      <c r="AAJ287" s="3"/>
      <c r="AAK287" s="3"/>
      <c r="AAL287" s="3"/>
      <c r="AAM287" s="3"/>
    </row>
    <row r="288" spans="1:715" s="2" customFormat="1" ht="50" customHeight="1">
      <c r="A288" s="8"/>
      <c r="B288" s="12"/>
      <c r="C288" s="8"/>
      <c r="D288" s="8"/>
      <c r="E288" s="8"/>
      <c r="F288" s="8"/>
      <c r="G288" s="5"/>
      <c r="H288" s="5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  <c r="AAA288" s="3"/>
      <c r="AAB288" s="3"/>
      <c r="AAC288" s="3"/>
      <c r="AAD288" s="3"/>
      <c r="AAE288" s="3"/>
      <c r="AAF288" s="3"/>
      <c r="AAG288" s="3"/>
      <c r="AAH288" s="3"/>
      <c r="AAI288" s="3"/>
      <c r="AAJ288" s="3"/>
      <c r="AAK288" s="3"/>
      <c r="AAL288" s="3"/>
      <c r="AAM288" s="3"/>
    </row>
    <row r="289" spans="1:715" s="2" customFormat="1" ht="50" customHeight="1">
      <c r="A289" s="8"/>
      <c r="B289" s="12"/>
      <c r="C289" s="8"/>
      <c r="D289" s="8"/>
      <c r="E289" s="8"/>
      <c r="F289" s="8"/>
      <c r="G289" s="5"/>
      <c r="H289" s="5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  <c r="AAA289" s="3"/>
      <c r="AAB289" s="3"/>
      <c r="AAC289" s="3"/>
      <c r="AAD289" s="3"/>
      <c r="AAE289" s="3"/>
      <c r="AAF289" s="3"/>
      <c r="AAG289" s="3"/>
      <c r="AAH289" s="3"/>
      <c r="AAI289" s="3"/>
      <c r="AAJ289" s="3"/>
      <c r="AAK289" s="3"/>
      <c r="AAL289" s="3"/>
      <c r="AAM289" s="3"/>
    </row>
    <row r="290" spans="1:715" s="2" customFormat="1" ht="50" customHeight="1">
      <c r="A290" s="8"/>
      <c r="B290" s="12"/>
      <c r="C290" s="8"/>
      <c r="D290" s="8"/>
      <c r="E290" s="8"/>
      <c r="F290" s="8"/>
      <c r="G290" s="5"/>
      <c r="H290" s="5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  <c r="AAA290" s="3"/>
      <c r="AAB290" s="3"/>
      <c r="AAC290" s="3"/>
      <c r="AAD290" s="3"/>
      <c r="AAE290" s="3"/>
      <c r="AAF290" s="3"/>
      <c r="AAG290" s="3"/>
      <c r="AAH290" s="3"/>
      <c r="AAI290" s="3"/>
      <c r="AAJ290" s="3"/>
      <c r="AAK290" s="3"/>
      <c r="AAL290" s="3"/>
      <c r="AAM290" s="3"/>
    </row>
    <row r="291" spans="1:715" s="2" customFormat="1" ht="50" customHeight="1">
      <c r="A291" s="8"/>
      <c r="B291" s="12"/>
      <c r="C291" s="8"/>
      <c r="D291" s="8"/>
      <c r="E291" s="8"/>
      <c r="F291" s="8"/>
      <c r="G291" s="5"/>
      <c r="H291" s="5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  <c r="AAA291" s="3"/>
      <c r="AAB291" s="3"/>
      <c r="AAC291" s="3"/>
      <c r="AAD291" s="3"/>
      <c r="AAE291" s="3"/>
      <c r="AAF291" s="3"/>
      <c r="AAG291" s="3"/>
      <c r="AAH291" s="3"/>
      <c r="AAI291" s="3"/>
      <c r="AAJ291" s="3"/>
      <c r="AAK291" s="3"/>
      <c r="AAL291" s="3"/>
      <c r="AAM291" s="3"/>
    </row>
    <row r="292" spans="1:715" s="2" customFormat="1" ht="50" customHeight="1">
      <c r="A292" s="8"/>
      <c r="B292" s="12"/>
      <c r="C292" s="8"/>
      <c r="D292" s="8"/>
      <c r="E292" s="8"/>
      <c r="F292" s="8"/>
      <c r="G292" s="5"/>
      <c r="H292" s="5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  <c r="AAA292" s="3"/>
      <c r="AAB292" s="3"/>
      <c r="AAC292" s="3"/>
      <c r="AAD292" s="3"/>
      <c r="AAE292" s="3"/>
      <c r="AAF292" s="3"/>
      <c r="AAG292" s="3"/>
      <c r="AAH292" s="3"/>
      <c r="AAI292" s="3"/>
      <c r="AAJ292" s="3"/>
      <c r="AAK292" s="3"/>
      <c r="AAL292" s="3"/>
      <c r="AAM292" s="3"/>
    </row>
    <row r="293" spans="1:715" s="2" customFormat="1" ht="50" customHeight="1">
      <c r="A293" s="8"/>
      <c r="B293" s="12"/>
      <c r="C293" s="8"/>
      <c r="D293" s="8"/>
      <c r="E293" s="8"/>
      <c r="F293" s="8"/>
      <c r="G293" s="5"/>
      <c r="H293" s="5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  <c r="AAA293" s="3"/>
      <c r="AAB293" s="3"/>
      <c r="AAC293" s="3"/>
      <c r="AAD293" s="3"/>
      <c r="AAE293" s="3"/>
      <c r="AAF293" s="3"/>
      <c r="AAG293" s="3"/>
      <c r="AAH293" s="3"/>
      <c r="AAI293" s="3"/>
      <c r="AAJ293" s="3"/>
      <c r="AAK293" s="3"/>
      <c r="AAL293" s="3"/>
      <c r="AAM293" s="3"/>
    </row>
    <row r="294" spans="1:715" s="2" customFormat="1" ht="50" customHeight="1">
      <c r="A294" s="8"/>
      <c r="B294" s="12"/>
      <c r="C294" s="8"/>
      <c r="D294" s="8"/>
      <c r="E294" s="8"/>
      <c r="F294" s="8"/>
      <c r="G294" s="5"/>
      <c r="H294" s="5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  <c r="AAA294" s="3"/>
      <c r="AAB294" s="3"/>
      <c r="AAC294" s="3"/>
      <c r="AAD294" s="3"/>
      <c r="AAE294" s="3"/>
      <c r="AAF294" s="3"/>
      <c r="AAG294" s="3"/>
      <c r="AAH294" s="3"/>
      <c r="AAI294" s="3"/>
      <c r="AAJ294" s="3"/>
      <c r="AAK294" s="3"/>
      <c r="AAL294" s="3"/>
      <c r="AAM294" s="3"/>
    </row>
    <row r="295" spans="1:715" s="2" customFormat="1" ht="50" customHeight="1">
      <c r="A295" s="8"/>
      <c r="B295" s="12"/>
      <c r="C295" s="8"/>
      <c r="D295" s="8"/>
      <c r="E295" s="8"/>
      <c r="F295" s="8"/>
      <c r="G295" s="5"/>
      <c r="H295" s="5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  <c r="AAA295" s="3"/>
      <c r="AAB295" s="3"/>
      <c r="AAC295" s="3"/>
      <c r="AAD295" s="3"/>
      <c r="AAE295" s="3"/>
      <c r="AAF295" s="3"/>
      <c r="AAG295" s="3"/>
      <c r="AAH295" s="3"/>
      <c r="AAI295" s="3"/>
      <c r="AAJ295" s="3"/>
      <c r="AAK295" s="3"/>
      <c r="AAL295" s="3"/>
      <c r="AAM295" s="3"/>
    </row>
    <row r="296" spans="1:715" s="2" customFormat="1" ht="50" customHeight="1">
      <c r="A296" s="8"/>
      <c r="B296" s="12"/>
      <c r="C296" s="8"/>
      <c r="D296" s="8"/>
      <c r="E296" s="8"/>
      <c r="F296" s="8"/>
      <c r="G296" s="5"/>
      <c r="H296" s="5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  <c r="AAA296" s="3"/>
      <c r="AAB296" s="3"/>
      <c r="AAC296" s="3"/>
      <c r="AAD296" s="3"/>
      <c r="AAE296" s="3"/>
      <c r="AAF296" s="3"/>
      <c r="AAG296" s="3"/>
      <c r="AAH296" s="3"/>
      <c r="AAI296" s="3"/>
      <c r="AAJ296" s="3"/>
      <c r="AAK296" s="3"/>
      <c r="AAL296" s="3"/>
      <c r="AAM296" s="3"/>
    </row>
    <row r="297" spans="1:715" s="2" customFormat="1" ht="50" customHeight="1">
      <c r="A297" s="8"/>
      <c r="B297" s="12"/>
      <c r="C297" s="8"/>
      <c r="D297" s="8"/>
      <c r="E297" s="8"/>
      <c r="F297" s="8"/>
      <c r="G297" s="5"/>
      <c r="H297" s="5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  <c r="AAA297" s="3"/>
      <c r="AAB297" s="3"/>
      <c r="AAC297" s="3"/>
      <c r="AAD297" s="3"/>
      <c r="AAE297" s="3"/>
      <c r="AAF297" s="3"/>
      <c r="AAG297" s="3"/>
      <c r="AAH297" s="3"/>
      <c r="AAI297" s="3"/>
      <c r="AAJ297" s="3"/>
      <c r="AAK297" s="3"/>
      <c r="AAL297" s="3"/>
      <c r="AAM297" s="3"/>
    </row>
    <row r="298" spans="1:715" s="2" customFormat="1" ht="50" customHeight="1">
      <c r="A298" s="8"/>
      <c r="B298" s="12"/>
      <c r="C298" s="8"/>
      <c r="D298" s="8"/>
      <c r="E298" s="8"/>
      <c r="F298" s="8"/>
      <c r="G298" s="5"/>
      <c r="H298" s="5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  <c r="AAA298" s="3"/>
      <c r="AAB298" s="3"/>
      <c r="AAC298" s="3"/>
      <c r="AAD298" s="3"/>
      <c r="AAE298" s="3"/>
      <c r="AAF298" s="3"/>
      <c r="AAG298" s="3"/>
      <c r="AAH298" s="3"/>
      <c r="AAI298" s="3"/>
      <c r="AAJ298" s="3"/>
      <c r="AAK298" s="3"/>
      <c r="AAL298" s="3"/>
      <c r="AAM298" s="3"/>
    </row>
    <row r="299" spans="1:715" s="2" customFormat="1" ht="50" customHeight="1">
      <c r="A299" s="8"/>
      <c r="B299" s="12"/>
      <c r="C299" s="8"/>
      <c r="D299" s="8"/>
      <c r="E299" s="8"/>
      <c r="F299" s="8"/>
      <c r="G299" s="5"/>
      <c r="H299" s="5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  <c r="AAA299" s="3"/>
      <c r="AAB299" s="3"/>
      <c r="AAC299" s="3"/>
      <c r="AAD299" s="3"/>
      <c r="AAE299" s="3"/>
      <c r="AAF299" s="3"/>
      <c r="AAG299" s="3"/>
      <c r="AAH299" s="3"/>
      <c r="AAI299" s="3"/>
      <c r="AAJ299" s="3"/>
      <c r="AAK299" s="3"/>
      <c r="AAL299" s="3"/>
      <c r="AAM299" s="3"/>
    </row>
    <row r="300" spans="1:715" s="2" customFormat="1" ht="50" customHeight="1">
      <c r="A300" s="8"/>
      <c r="B300" s="12"/>
      <c r="C300" s="8"/>
      <c r="D300" s="8"/>
      <c r="E300" s="8"/>
      <c r="F300" s="8"/>
      <c r="G300" s="5"/>
      <c r="H300" s="5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  <c r="AAA300" s="3"/>
      <c r="AAB300" s="3"/>
      <c r="AAC300" s="3"/>
      <c r="AAD300" s="3"/>
      <c r="AAE300" s="3"/>
      <c r="AAF300" s="3"/>
      <c r="AAG300" s="3"/>
      <c r="AAH300" s="3"/>
      <c r="AAI300" s="3"/>
      <c r="AAJ300" s="3"/>
      <c r="AAK300" s="3"/>
      <c r="AAL300" s="3"/>
      <c r="AAM300" s="3"/>
    </row>
    <row r="301" spans="1:715" s="2" customFormat="1" ht="50" customHeight="1">
      <c r="A301" s="8"/>
      <c r="B301" s="12"/>
      <c r="C301" s="8"/>
      <c r="D301" s="8"/>
      <c r="E301" s="8"/>
      <c r="F301" s="8"/>
      <c r="G301" s="5"/>
      <c r="H301" s="5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</row>
    <row r="302" spans="1:715" s="2" customFormat="1" ht="50" customHeight="1">
      <c r="A302" s="8"/>
      <c r="B302" s="12"/>
      <c r="C302" s="8"/>
      <c r="D302" s="8"/>
      <c r="E302" s="8"/>
      <c r="F302" s="8"/>
      <c r="G302" s="5"/>
      <c r="H302" s="5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</row>
    <row r="303" spans="1:715" s="2" customFormat="1" ht="50" customHeight="1">
      <c r="A303" s="8"/>
      <c r="B303" s="12"/>
      <c r="C303" s="8"/>
      <c r="D303" s="8"/>
      <c r="E303" s="8"/>
      <c r="F303" s="8"/>
      <c r="G303" s="5"/>
      <c r="H303" s="5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  <c r="AAA303" s="3"/>
      <c r="AAB303" s="3"/>
      <c r="AAC303" s="3"/>
      <c r="AAD303" s="3"/>
      <c r="AAE303" s="3"/>
      <c r="AAF303" s="3"/>
      <c r="AAG303" s="3"/>
      <c r="AAH303" s="3"/>
      <c r="AAI303" s="3"/>
      <c r="AAJ303" s="3"/>
      <c r="AAK303" s="3"/>
      <c r="AAL303" s="3"/>
      <c r="AAM303" s="3"/>
    </row>
    <row r="304" spans="1:715" s="2" customFormat="1" ht="50" customHeight="1">
      <c r="A304" s="8"/>
      <c r="B304" s="12"/>
      <c r="C304" s="8"/>
      <c r="D304" s="8"/>
      <c r="E304" s="8"/>
      <c r="F304" s="8"/>
      <c r="G304" s="5"/>
      <c r="H304" s="5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  <c r="AAA304" s="3"/>
      <c r="AAB304" s="3"/>
      <c r="AAC304" s="3"/>
      <c r="AAD304" s="3"/>
      <c r="AAE304" s="3"/>
      <c r="AAF304" s="3"/>
      <c r="AAG304" s="3"/>
      <c r="AAH304" s="3"/>
      <c r="AAI304" s="3"/>
      <c r="AAJ304" s="3"/>
      <c r="AAK304" s="3"/>
      <c r="AAL304" s="3"/>
      <c r="AAM304" s="3"/>
    </row>
    <row r="305" spans="1:715" s="2" customFormat="1" ht="50" customHeight="1">
      <c r="A305" s="8"/>
      <c r="B305" s="12"/>
      <c r="C305" s="8"/>
      <c r="D305" s="8"/>
      <c r="E305" s="8"/>
      <c r="F305" s="8"/>
      <c r="G305" s="5"/>
      <c r="H305" s="5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  <c r="AAA305" s="3"/>
      <c r="AAB305" s="3"/>
      <c r="AAC305" s="3"/>
      <c r="AAD305" s="3"/>
      <c r="AAE305" s="3"/>
      <c r="AAF305" s="3"/>
      <c r="AAG305" s="3"/>
      <c r="AAH305" s="3"/>
      <c r="AAI305" s="3"/>
      <c r="AAJ305" s="3"/>
      <c r="AAK305" s="3"/>
      <c r="AAL305" s="3"/>
      <c r="AAM305" s="3"/>
    </row>
    <row r="306" spans="1:715" s="2" customFormat="1" ht="50" customHeight="1">
      <c r="A306" s="8"/>
      <c r="B306" s="12"/>
      <c r="C306" s="8"/>
      <c r="D306" s="8"/>
      <c r="E306" s="8"/>
      <c r="F306" s="8"/>
      <c r="G306" s="5"/>
      <c r="H306" s="5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  <c r="AAA306" s="3"/>
      <c r="AAB306" s="3"/>
      <c r="AAC306" s="3"/>
      <c r="AAD306" s="3"/>
      <c r="AAE306" s="3"/>
      <c r="AAF306" s="3"/>
      <c r="AAG306" s="3"/>
      <c r="AAH306" s="3"/>
      <c r="AAI306" s="3"/>
      <c r="AAJ306" s="3"/>
      <c r="AAK306" s="3"/>
      <c r="AAL306" s="3"/>
      <c r="AAM306" s="3"/>
    </row>
    <row r="307" spans="1:715" s="2" customFormat="1" ht="50" customHeight="1">
      <c r="A307" s="8"/>
      <c r="B307" s="12"/>
      <c r="C307" s="8"/>
      <c r="D307" s="8"/>
      <c r="E307" s="8"/>
      <c r="F307" s="8"/>
      <c r="G307" s="5"/>
      <c r="H307" s="5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  <c r="AAA307" s="3"/>
      <c r="AAB307" s="3"/>
      <c r="AAC307" s="3"/>
      <c r="AAD307" s="3"/>
      <c r="AAE307" s="3"/>
      <c r="AAF307" s="3"/>
      <c r="AAG307" s="3"/>
      <c r="AAH307" s="3"/>
      <c r="AAI307" s="3"/>
      <c r="AAJ307" s="3"/>
      <c r="AAK307" s="3"/>
      <c r="AAL307" s="3"/>
      <c r="AAM307" s="3"/>
    </row>
    <row r="308" spans="1:715" s="2" customFormat="1" ht="50" customHeight="1">
      <c r="A308" s="8"/>
      <c r="B308" s="12"/>
      <c r="C308" s="8"/>
      <c r="D308" s="8"/>
      <c r="E308" s="8"/>
      <c r="F308" s="8"/>
      <c r="G308" s="5"/>
      <c r="H308" s="5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  <c r="AAA308" s="3"/>
      <c r="AAB308" s="3"/>
      <c r="AAC308" s="3"/>
      <c r="AAD308" s="3"/>
      <c r="AAE308" s="3"/>
      <c r="AAF308" s="3"/>
      <c r="AAG308" s="3"/>
      <c r="AAH308" s="3"/>
      <c r="AAI308" s="3"/>
      <c r="AAJ308" s="3"/>
      <c r="AAK308" s="3"/>
      <c r="AAL308" s="3"/>
      <c r="AAM308" s="3"/>
    </row>
    <row r="309" spans="1:715" s="2" customFormat="1" ht="50" customHeight="1">
      <c r="A309" s="8"/>
      <c r="B309" s="12"/>
      <c r="C309" s="8"/>
      <c r="D309" s="8"/>
      <c r="E309" s="8"/>
      <c r="F309" s="8"/>
      <c r="G309" s="5"/>
      <c r="H309" s="5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  <c r="AAA309" s="3"/>
      <c r="AAB309" s="3"/>
      <c r="AAC309" s="3"/>
      <c r="AAD309" s="3"/>
      <c r="AAE309" s="3"/>
      <c r="AAF309" s="3"/>
      <c r="AAG309" s="3"/>
      <c r="AAH309" s="3"/>
      <c r="AAI309" s="3"/>
      <c r="AAJ309" s="3"/>
      <c r="AAK309" s="3"/>
      <c r="AAL309" s="3"/>
      <c r="AAM309" s="3"/>
    </row>
    <row r="310" spans="1:715" s="2" customFormat="1" ht="50" customHeight="1">
      <c r="A310" s="8"/>
      <c r="B310" s="12"/>
      <c r="C310" s="8"/>
      <c r="D310" s="8"/>
      <c r="E310" s="8"/>
      <c r="F310" s="8"/>
      <c r="G310" s="5"/>
      <c r="H310" s="5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  <c r="AAA310" s="3"/>
      <c r="AAB310" s="3"/>
      <c r="AAC310" s="3"/>
      <c r="AAD310" s="3"/>
      <c r="AAE310" s="3"/>
      <c r="AAF310" s="3"/>
      <c r="AAG310" s="3"/>
      <c r="AAH310" s="3"/>
      <c r="AAI310" s="3"/>
      <c r="AAJ310" s="3"/>
      <c r="AAK310" s="3"/>
      <c r="AAL310" s="3"/>
      <c r="AAM310" s="3"/>
    </row>
    <row r="311" spans="1:715" s="2" customFormat="1" ht="50" customHeight="1">
      <c r="A311" s="8"/>
      <c r="B311" s="12"/>
      <c r="C311" s="8"/>
      <c r="D311" s="8"/>
      <c r="E311" s="8"/>
      <c r="F311" s="8"/>
      <c r="G311" s="5"/>
      <c r="H311" s="5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  <c r="AAA311" s="3"/>
      <c r="AAB311" s="3"/>
      <c r="AAC311" s="3"/>
      <c r="AAD311" s="3"/>
      <c r="AAE311" s="3"/>
      <c r="AAF311" s="3"/>
      <c r="AAG311" s="3"/>
      <c r="AAH311" s="3"/>
      <c r="AAI311" s="3"/>
      <c r="AAJ311" s="3"/>
      <c r="AAK311" s="3"/>
      <c r="AAL311" s="3"/>
      <c r="AAM311" s="3"/>
    </row>
    <row r="312" spans="1:715" s="2" customFormat="1" ht="50" customHeight="1">
      <c r="A312" s="8"/>
      <c r="B312" s="12"/>
      <c r="C312" s="8"/>
      <c r="D312" s="8"/>
      <c r="E312" s="8"/>
      <c r="F312" s="8"/>
      <c r="G312" s="5"/>
      <c r="H312" s="5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  <c r="AAA312" s="3"/>
      <c r="AAB312" s="3"/>
      <c r="AAC312" s="3"/>
      <c r="AAD312" s="3"/>
      <c r="AAE312" s="3"/>
      <c r="AAF312" s="3"/>
      <c r="AAG312" s="3"/>
      <c r="AAH312" s="3"/>
      <c r="AAI312" s="3"/>
      <c r="AAJ312" s="3"/>
      <c r="AAK312" s="3"/>
      <c r="AAL312" s="3"/>
      <c r="AAM312" s="3"/>
    </row>
    <row r="313" spans="1:715" s="2" customFormat="1" ht="50" customHeight="1">
      <c r="A313" s="8"/>
      <c r="B313" s="12"/>
      <c r="C313" s="8"/>
      <c r="D313" s="8"/>
      <c r="E313" s="8"/>
      <c r="F313" s="8"/>
      <c r="G313" s="5"/>
      <c r="H313" s="5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  <c r="AAA313" s="3"/>
      <c r="AAB313" s="3"/>
      <c r="AAC313" s="3"/>
      <c r="AAD313" s="3"/>
      <c r="AAE313" s="3"/>
      <c r="AAF313" s="3"/>
      <c r="AAG313" s="3"/>
      <c r="AAH313" s="3"/>
      <c r="AAI313" s="3"/>
      <c r="AAJ313" s="3"/>
      <c r="AAK313" s="3"/>
      <c r="AAL313" s="3"/>
      <c r="AAM313" s="3"/>
    </row>
    <row r="314" spans="1:715" s="2" customFormat="1" ht="50" customHeight="1">
      <c r="A314" s="8"/>
      <c r="B314" s="12"/>
      <c r="C314" s="8"/>
      <c r="D314" s="8"/>
      <c r="E314" s="8"/>
      <c r="F314" s="8"/>
      <c r="G314" s="5"/>
      <c r="H314" s="5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  <c r="AAA314" s="3"/>
      <c r="AAB314" s="3"/>
      <c r="AAC314" s="3"/>
      <c r="AAD314" s="3"/>
      <c r="AAE314" s="3"/>
      <c r="AAF314" s="3"/>
      <c r="AAG314" s="3"/>
      <c r="AAH314" s="3"/>
      <c r="AAI314" s="3"/>
      <c r="AAJ314" s="3"/>
      <c r="AAK314" s="3"/>
      <c r="AAL314" s="3"/>
      <c r="AAM314" s="3"/>
    </row>
    <row r="315" spans="1:715" s="2" customFormat="1" ht="50" customHeight="1">
      <c r="A315" s="8"/>
      <c r="B315" s="12"/>
      <c r="C315" s="8"/>
      <c r="D315" s="8"/>
      <c r="E315" s="8"/>
      <c r="F315" s="8"/>
      <c r="G315" s="5"/>
      <c r="H315" s="5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  <c r="AAA315" s="3"/>
      <c r="AAB315" s="3"/>
      <c r="AAC315" s="3"/>
      <c r="AAD315" s="3"/>
      <c r="AAE315" s="3"/>
      <c r="AAF315" s="3"/>
      <c r="AAG315" s="3"/>
      <c r="AAH315" s="3"/>
      <c r="AAI315" s="3"/>
      <c r="AAJ315" s="3"/>
      <c r="AAK315" s="3"/>
      <c r="AAL315" s="3"/>
      <c r="AAM315" s="3"/>
    </row>
    <row r="316" spans="1:715" s="2" customFormat="1" ht="50" customHeight="1">
      <c r="A316" s="8"/>
      <c r="B316" s="12"/>
      <c r="C316" s="8"/>
      <c r="D316" s="8"/>
      <c r="E316" s="8"/>
      <c r="F316" s="8"/>
      <c r="G316" s="5"/>
      <c r="H316" s="5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  <c r="AAA316" s="3"/>
      <c r="AAB316" s="3"/>
      <c r="AAC316" s="3"/>
      <c r="AAD316" s="3"/>
      <c r="AAE316" s="3"/>
      <c r="AAF316" s="3"/>
      <c r="AAG316" s="3"/>
      <c r="AAH316" s="3"/>
      <c r="AAI316" s="3"/>
      <c r="AAJ316" s="3"/>
      <c r="AAK316" s="3"/>
      <c r="AAL316" s="3"/>
      <c r="AAM316" s="3"/>
    </row>
    <row r="317" spans="1:715" s="2" customFormat="1" ht="50" customHeight="1">
      <c r="A317" s="8"/>
      <c r="B317" s="12"/>
      <c r="C317" s="8"/>
      <c r="D317" s="8"/>
      <c r="E317" s="8"/>
      <c r="F317" s="8"/>
      <c r="G317" s="5"/>
      <c r="H317" s="5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  <c r="AAA317" s="3"/>
      <c r="AAB317" s="3"/>
      <c r="AAC317" s="3"/>
      <c r="AAD317" s="3"/>
      <c r="AAE317" s="3"/>
      <c r="AAF317" s="3"/>
      <c r="AAG317" s="3"/>
      <c r="AAH317" s="3"/>
      <c r="AAI317" s="3"/>
      <c r="AAJ317" s="3"/>
      <c r="AAK317" s="3"/>
      <c r="AAL317" s="3"/>
      <c r="AAM317" s="3"/>
    </row>
    <row r="318" spans="1:715" s="2" customFormat="1" ht="50" customHeight="1">
      <c r="A318" s="8"/>
      <c r="B318" s="12"/>
      <c r="C318" s="8"/>
      <c r="D318" s="8"/>
      <c r="E318" s="8"/>
      <c r="F318" s="8"/>
      <c r="G318" s="5"/>
      <c r="H318" s="5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  <c r="AAA318" s="3"/>
      <c r="AAB318" s="3"/>
      <c r="AAC318" s="3"/>
      <c r="AAD318" s="3"/>
      <c r="AAE318" s="3"/>
      <c r="AAF318" s="3"/>
      <c r="AAG318" s="3"/>
      <c r="AAH318" s="3"/>
      <c r="AAI318" s="3"/>
      <c r="AAJ318" s="3"/>
      <c r="AAK318" s="3"/>
      <c r="AAL318" s="3"/>
      <c r="AAM318" s="3"/>
    </row>
    <row r="319" spans="1:715" s="2" customFormat="1" ht="50" customHeight="1">
      <c r="A319" s="8"/>
      <c r="B319" s="12"/>
      <c r="C319" s="8"/>
      <c r="D319" s="8"/>
      <c r="E319" s="8"/>
      <c r="F319" s="8"/>
      <c r="G319" s="5"/>
      <c r="H319" s="5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  <c r="AAA319" s="3"/>
      <c r="AAB319" s="3"/>
      <c r="AAC319" s="3"/>
      <c r="AAD319" s="3"/>
      <c r="AAE319" s="3"/>
      <c r="AAF319" s="3"/>
      <c r="AAG319" s="3"/>
      <c r="AAH319" s="3"/>
      <c r="AAI319" s="3"/>
      <c r="AAJ319" s="3"/>
      <c r="AAK319" s="3"/>
      <c r="AAL319" s="3"/>
      <c r="AAM319" s="3"/>
    </row>
    <row r="320" spans="1:715" s="2" customFormat="1" ht="50" customHeight="1">
      <c r="A320" s="8"/>
      <c r="B320" s="12"/>
      <c r="C320" s="8"/>
      <c r="D320" s="8"/>
      <c r="E320" s="8"/>
      <c r="F320" s="8"/>
      <c r="G320" s="5"/>
      <c r="H320" s="5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  <c r="AAA320" s="3"/>
      <c r="AAB320" s="3"/>
      <c r="AAC320" s="3"/>
      <c r="AAD320" s="3"/>
      <c r="AAE320" s="3"/>
      <c r="AAF320" s="3"/>
      <c r="AAG320" s="3"/>
      <c r="AAH320" s="3"/>
      <c r="AAI320" s="3"/>
      <c r="AAJ320" s="3"/>
      <c r="AAK320" s="3"/>
      <c r="AAL320" s="3"/>
      <c r="AAM320" s="3"/>
    </row>
    <row r="321" spans="1:715" s="2" customFormat="1" ht="50" customHeight="1">
      <c r="A321" s="8"/>
      <c r="B321" s="12"/>
      <c r="C321" s="8"/>
      <c r="D321" s="8"/>
      <c r="E321" s="8"/>
      <c r="F321" s="8"/>
      <c r="G321" s="5"/>
      <c r="H321" s="5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  <c r="AAA321" s="3"/>
      <c r="AAB321" s="3"/>
      <c r="AAC321" s="3"/>
      <c r="AAD321" s="3"/>
      <c r="AAE321" s="3"/>
      <c r="AAF321" s="3"/>
      <c r="AAG321" s="3"/>
      <c r="AAH321" s="3"/>
      <c r="AAI321" s="3"/>
      <c r="AAJ321" s="3"/>
      <c r="AAK321" s="3"/>
      <c r="AAL321" s="3"/>
      <c r="AAM321" s="3"/>
    </row>
    <row r="322" spans="1:715" s="2" customFormat="1" ht="50" customHeight="1">
      <c r="A322" s="8"/>
      <c r="B322" s="12"/>
      <c r="C322" s="8"/>
      <c r="D322" s="8"/>
      <c r="E322" s="8"/>
      <c r="F322" s="8"/>
      <c r="G322" s="5"/>
      <c r="H322" s="5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  <c r="AAA322" s="3"/>
      <c r="AAB322" s="3"/>
      <c r="AAC322" s="3"/>
      <c r="AAD322" s="3"/>
      <c r="AAE322" s="3"/>
      <c r="AAF322" s="3"/>
      <c r="AAG322" s="3"/>
      <c r="AAH322" s="3"/>
      <c r="AAI322" s="3"/>
      <c r="AAJ322" s="3"/>
      <c r="AAK322" s="3"/>
      <c r="AAL322" s="3"/>
      <c r="AAM322" s="3"/>
    </row>
    <row r="323" spans="1:715" s="2" customFormat="1" ht="50" customHeight="1">
      <c r="A323" s="8"/>
      <c r="B323" s="12"/>
      <c r="C323" s="8"/>
      <c r="D323" s="8"/>
      <c r="E323" s="8"/>
      <c r="F323" s="8"/>
      <c r="G323" s="5"/>
      <c r="H323" s="5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  <c r="AAA323" s="3"/>
      <c r="AAB323" s="3"/>
      <c r="AAC323" s="3"/>
      <c r="AAD323" s="3"/>
      <c r="AAE323" s="3"/>
      <c r="AAF323" s="3"/>
      <c r="AAG323" s="3"/>
      <c r="AAH323" s="3"/>
      <c r="AAI323" s="3"/>
      <c r="AAJ323" s="3"/>
      <c r="AAK323" s="3"/>
      <c r="AAL323" s="3"/>
      <c r="AAM323" s="3"/>
    </row>
    <row r="324" spans="1:715" s="2" customFormat="1" ht="50" customHeight="1">
      <c r="A324" s="8"/>
      <c r="B324" s="12"/>
      <c r="C324" s="8"/>
      <c r="D324" s="8"/>
      <c r="E324" s="8"/>
      <c r="F324" s="8"/>
      <c r="G324" s="5"/>
      <c r="H324" s="5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  <c r="AAA324" s="3"/>
      <c r="AAB324" s="3"/>
      <c r="AAC324" s="3"/>
      <c r="AAD324" s="3"/>
      <c r="AAE324" s="3"/>
      <c r="AAF324" s="3"/>
      <c r="AAG324" s="3"/>
      <c r="AAH324" s="3"/>
      <c r="AAI324" s="3"/>
      <c r="AAJ324" s="3"/>
      <c r="AAK324" s="3"/>
      <c r="AAL324" s="3"/>
      <c r="AAM324" s="3"/>
    </row>
    <row r="325" spans="1:715" s="2" customFormat="1" ht="50" customHeight="1">
      <c r="A325" s="8"/>
      <c r="B325" s="12"/>
      <c r="C325" s="8"/>
      <c r="D325" s="8"/>
      <c r="E325" s="8"/>
      <c r="F325" s="8"/>
      <c r="G325" s="5"/>
      <c r="H325" s="5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  <c r="AAA325" s="3"/>
      <c r="AAB325" s="3"/>
      <c r="AAC325" s="3"/>
      <c r="AAD325" s="3"/>
      <c r="AAE325" s="3"/>
      <c r="AAF325" s="3"/>
      <c r="AAG325" s="3"/>
      <c r="AAH325" s="3"/>
      <c r="AAI325" s="3"/>
      <c r="AAJ325" s="3"/>
      <c r="AAK325" s="3"/>
      <c r="AAL325" s="3"/>
      <c r="AAM325" s="3"/>
    </row>
    <row r="326" spans="1:715" s="2" customFormat="1" ht="50" customHeight="1">
      <c r="A326" s="8"/>
      <c r="B326" s="12"/>
      <c r="C326" s="8"/>
      <c r="D326" s="8"/>
      <c r="E326" s="8"/>
      <c r="F326" s="8"/>
      <c r="G326" s="5"/>
      <c r="H326" s="5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  <c r="AAA326" s="3"/>
      <c r="AAB326" s="3"/>
      <c r="AAC326" s="3"/>
      <c r="AAD326" s="3"/>
      <c r="AAE326" s="3"/>
      <c r="AAF326" s="3"/>
      <c r="AAG326" s="3"/>
      <c r="AAH326" s="3"/>
      <c r="AAI326" s="3"/>
      <c r="AAJ326" s="3"/>
      <c r="AAK326" s="3"/>
      <c r="AAL326" s="3"/>
      <c r="AAM326" s="3"/>
    </row>
    <row r="327" spans="1:715" s="2" customFormat="1" ht="50" customHeight="1">
      <c r="A327" s="8"/>
      <c r="B327" s="12"/>
      <c r="C327" s="8"/>
      <c r="D327" s="8"/>
      <c r="E327" s="8"/>
      <c r="F327" s="8"/>
      <c r="G327" s="5"/>
      <c r="H327" s="5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  <c r="AAA327" s="3"/>
      <c r="AAB327" s="3"/>
      <c r="AAC327" s="3"/>
      <c r="AAD327" s="3"/>
      <c r="AAE327" s="3"/>
      <c r="AAF327" s="3"/>
      <c r="AAG327" s="3"/>
      <c r="AAH327" s="3"/>
      <c r="AAI327" s="3"/>
      <c r="AAJ327" s="3"/>
      <c r="AAK327" s="3"/>
      <c r="AAL327" s="3"/>
      <c r="AAM327" s="3"/>
    </row>
    <row r="328" spans="1:715" s="2" customFormat="1" ht="50" customHeight="1">
      <c r="A328" s="8"/>
      <c r="B328" s="12"/>
      <c r="C328" s="8"/>
      <c r="D328" s="8"/>
      <c r="E328" s="8"/>
      <c r="F328" s="8"/>
      <c r="G328" s="5"/>
      <c r="H328" s="5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  <c r="AAA328" s="3"/>
      <c r="AAB328" s="3"/>
      <c r="AAC328" s="3"/>
      <c r="AAD328" s="3"/>
      <c r="AAE328" s="3"/>
      <c r="AAF328" s="3"/>
      <c r="AAG328" s="3"/>
      <c r="AAH328" s="3"/>
      <c r="AAI328" s="3"/>
      <c r="AAJ328" s="3"/>
      <c r="AAK328" s="3"/>
      <c r="AAL328" s="3"/>
      <c r="AAM328" s="3"/>
    </row>
    <row r="329" spans="1:715" s="2" customFormat="1" ht="50" customHeight="1">
      <c r="A329" s="8"/>
      <c r="B329" s="12"/>
      <c r="C329" s="8"/>
      <c r="D329" s="8"/>
      <c r="E329" s="8"/>
      <c r="F329" s="8"/>
      <c r="G329" s="5"/>
      <c r="H329" s="5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  <c r="AAA329" s="3"/>
      <c r="AAB329" s="3"/>
      <c r="AAC329" s="3"/>
      <c r="AAD329" s="3"/>
      <c r="AAE329" s="3"/>
      <c r="AAF329" s="3"/>
      <c r="AAG329" s="3"/>
      <c r="AAH329" s="3"/>
      <c r="AAI329" s="3"/>
      <c r="AAJ329" s="3"/>
      <c r="AAK329" s="3"/>
      <c r="AAL329" s="3"/>
      <c r="AAM329" s="3"/>
    </row>
    <row r="330" spans="1:715" s="2" customFormat="1" ht="50" customHeight="1">
      <c r="A330" s="8"/>
      <c r="B330" s="12"/>
      <c r="C330" s="8"/>
      <c r="D330" s="8"/>
      <c r="E330" s="8"/>
      <c r="F330" s="8"/>
      <c r="G330" s="5"/>
      <c r="H330" s="5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  <c r="AAA330" s="3"/>
      <c r="AAB330" s="3"/>
      <c r="AAC330" s="3"/>
      <c r="AAD330" s="3"/>
      <c r="AAE330" s="3"/>
      <c r="AAF330" s="3"/>
      <c r="AAG330" s="3"/>
      <c r="AAH330" s="3"/>
      <c r="AAI330" s="3"/>
      <c r="AAJ330" s="3"/>
      <c r="AAK330" s="3"/>
      <c r="AAL330" s="3"/>
      <c r="AAM330" s="3"/>
    </row>
    <row r="331" spans="1:715" s="2" customFormat="1" ht="50" customHeight="1">
      <c r="A331" s="8"/>
      <c r="B331" s="12"/>
      <c r="C331" s="8"/>
      <c r="D331" s="8"/>
      <c r="E331" s="8"/>
      <c r="F331" s="8"/>
      <c r="G331" s="5"/>
      <c r="H331" s="5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  <c r="AAA331" s="3"/>
      <c r="AAB331" s="3"/>
      <c r="AAC331" s="3"/>
      <c r="AAD331" s="3"/>
      <c r="AAE331" s="3"/>
      <c r="AAF331" s="3"/>
      <c r="AAG331" s="3"/>
      <c r="AAH331" s="3"/>
      <c r="AAI331" s="3"/>
      <c r="AAJ331" s="3"/>
      <c r="AAK331" s="3"/>
      <c r="AAL331" s="3"/>
      <c r="AAM331" s="3"/>
    </row>
    <row r="332" spans="1:715" s="2" customFormat="1" ht="50" customHeight="1">
      <c r="A332" s="8"/>
      <c r="B332" s="12"/>
      <c r="C332" s="8"/>
      <c r="D332" s="8"/>
      <c r="E332" s="8"/>
      <c r="F332" s="8"/>
      <c r="G332" s="5"/>
      <c r="H332" s="5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  <c r="AAA332" s="3"/>
      <c r="AAB332" s="3"/>
      <c r="AAC332" s="3"/>
      <c r="AAD332" s="3"/>
      <c r="AAE332" s="3"/>
      <c r="AAF332" s="3"/>
      <c r="AAG332" s="3"/>
      <c r="AAH332" s="3"/>
      <c r="AAI332" s="3"/>
      <c r="AAJ332" s="3"/>
      <c r="AAK332" s="3"/>
      <c r="AAL332" s="3"/>
      <c r="AAM332" s="3"/>
    </row>
    <row r="333" spans="1:715" s="2" customFormat="1" ht="50" customHeight="1">
      <c r="A333" s="8"/>
      <c r="B333" s="12"/>
      <c r="C333" s="8"/>
      <c r="D333" s="8"/>
      <c r="E333" s="8"/>
      <c r="F333" s="8"/>
      <c r="G333" s="5"/>
      <c r="H333" s="5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  <c r="AAA333" s="3"/>
      <c r="AAB333" s="3"/>
      <c r="AAC333" s="3"/>
      <c r="AAD333" s="3"/>
      <c r="AAE333" s="3"/>
      <c r="AAF333" s="3"/>
      <c r="AAG333" s="3"/>
      <c r="AAH333" s="3"/>
      <c r="AAI333" s="3"/>
      <c r="AAJ333" s="3"/>
      <c r="AAK333" s="3"/>
      <c r="AAL333" s="3"/>
      <c r="AAM333" s="3"/>
    </row>
    <row r="334" spans="1:715" s="2" customFormat="1" ht="50" customHeight="1">
      <c r="A334" s="8"/>
      <c r="B334" s="12"/>
      <c r="C334" s="8"/>
      <c r="D334" s="8"/>
      <c r="E334" s="8"/>
      <c r="F334" s="8"/>
      <c r="G334" s="5"/>
      <c r="H334" s="5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  <c r="AAA334" s="3"/>
      <c r="AAB334" s="3"/>
      <c r="AAC334" s="3"/>
      <c r="AAD334" s="3"/>
      <c r="AAE334" s="3"/>
      <c r="AAF334" s="3"/>
      <c r="AAG334" s="3"/>
      <c r="AAH334" s="3"/>
      <c r="AAI334" s="3"/>
      <c r="AAJ334" s="3"/>
      <c r="AAK334" s="3"/>
      <c r="AAL334" s="3"/>
      <c r="AAM334" s="3"/>
    </row>
    <row r="335" spans="1:715" s="2" customFormat="1" ht="50" customHeight="1">
      <c r="A335" s="8"/>
      <c r="B335" s="12"/>
      <c r="C335" s="8"/>
      <c r="D335" s="8"/>
      <c r="E335" s="8"/>
      <c r="F335" s="8"/>
      <c r="G335" s="5"/>
      <c r="H335" s="5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  <c r="AAA335" s="3"/>
      <c r="AAB335" s="3"/>
      <c r="AAC335" s="3"/>
      <c r="AAD335" s="3"/>
      <c r="AAE335" s="3"/>
      <c r="AAF335" s="3"/>
      <c r="AAG335" s="3"/>
      <c r="AAH335" s="3"/>
      <c r="AAI335" s="3"/>
      <c r="AAJ335" s="3"/>
      <c r="AAK335" s="3"/>
      <c r="AAL335" s="3"/>
      <c r="AAM335" s="3"/>
    </row>
    <row r="336" spans="1:715" s="2" customFormat="1" ht="50" customHeight="1">
      <c r="A336" s="8"/>
      <c r="B336" s="12"/>
      <c r="C336" s="8"/>
      <c r="D336" s="8"/>
      <c r="E336" s="8"/>
      <c r="F336" s="8"/>
      <c r="G336" s="5"/>
      <c r="H336" s="5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  <c r="AAA336" s="3"/>
      <c r="AAB336" s="3"/>
      <c r="AAC336" s="3"/>
      <c r="AAD336" s="3"/>
      <c r="AAE336" s="3"/>
      <c r="AAF336" s="3"/>
      <c r="AAG336" s="3"/>
      <c r="AAH336" s="3"/>
      <c r="AAI336" s="3"/>
      <c r="AAJ336" s="3"/>
      <c r="AAK336" s="3"/>
      <c r="AAL336" s="3"/>
      <c r="AAM336" s="3"/>
    </row>
    <row r="337" spans="1:715" s="2" customFormat="1" ht="50" customHeight="1">
      <c r="A337" s="8"/>
      <c r="B337" s="12"/>
      <c r="C337" s="8"/>
      <c r="D337" s="8"/>
      <c r="E337" s="8"/>
      <c r="F337" s="8"/>
      <c r="G337" s="5"/>
      <c r="H337" s="5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  <c r="AAA337" s="3"/>
      <c r="AAB337" s="3"/>
      <c r="AAC337" s="3"/>
      <c r="AAD337" s="3"/>
      <c r="AAE337" s="3"/>
      <c r="AAF337" s="3"/>
      <c r="AAG337" s="3"/>
      <c r="AAH337" s="3"/>
      <c r="AAI337" s="3"/>
      <c r="AAJ337" s="3"/>
      <c r="AAK337" s="3"/>
      <c r="AAL337" s="3"/>
      <c r="AAM337" s="3"/>
    </row>
    <row r="338" spans="1:715" s="2" customFormat="1" ht="50" customHeight="1">
      <c r="A338" s="8"/>
      <c r="B338" s="12"/>
      <c r="C338" s="8"/>
      <c r="D338" s="8"/>
      <c r="E338" s="8"/>
      <c r="F338" s="8"/>
      <c r="G338" s="5"/>
      <c r="H338" s="5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  <c r="AAA338" s="3"/>
      <c r="AAB338" s="3"/>
      <c r="AAC338" s="3"/>
      <c r="AAD338" s="3"/>
      <c r="AAE338" s="3"/>
      <c r="AAF338" s="3"/>
      <c r="AAG338" s="3"/>
      <c r="AAH338" s="3"/>
      <c r="AAI338" s="3"/>
      <c r="AAJ338" s="3"/>
      <c r="AAK338" s="3"/>
      <c r="AAL338" s="3"/>
      <c r="AAM338" s="3"/>
    </row>
    <row r="339" spans="1:715" s="2" customFormat="1" ht="50" customHeight="1">
      <c r="A339" s="8"/>
      <c r="B339" s="12"/>
      <c r="C339" s="8"/>
      <c r="D339" s="8"/>
      <c r="E339" s="8"/>
      <c r="F339" s="8"/>
      <c r="G339" s="5"/>
      <c r="H339" s="5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  <c r="AAA339" s="3"/>
      <c r="AAB339" s="3"/>
      <c r="AAC339" s="3"/>
      <c r="AAD339" s="3"/>
      <c r="AAE339" s="3"/>
      <c r="AAF339" s="3"/>
      <c r="AAG339" s="3"/>
      <c r="AAH339" s="3"/>
      <c r="AAI339" s="3"/>
      <c r="AAJ339" s="3"/>
      <c r="AAK339" s="3"/>
      <c r="AAL339" s="3"/>
      <c r="AAM339" s="3"/>
    </row>
    <row r="340" spans="1:715" s="2" customFormat="1" ht="50" customHeight="1">
      <c r="A340" s="8"/>
      <c r="B340" s="12"/>
      <c r="C340" s="8"/>
      <c r="D340" s="8"/>
      <c r="E340" s="8"/>
      <c r="F340" s="8"/>
      <c r="G340" s="5"/>
      <c r="H340" s="5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  <c r="AAA340" s="3"/>
      <c r="AAB340" s="3"/>
      <c r="AAC340" s="3"/>
      <c r="AAD340" s="3"/>
      <c r="AAE340" s="3"/>
      <c r="AAF340" s="3"/>
      <c r="AAG340" s="3"/>
      <c r="AAH340" s="3"/>
      <c r="AAI340" s="3"/>
      <c r="AAJ340" s="3"/>
      <c r="AAK340" s="3"/>
      <c r="AAL340" s="3"/>
      <c r="AAM340" s="3"/>
    </row>
    <row r="341" spans="1:715" s="2" customFormat="1" ht="50" customHeight="1">
      <c r="A341" s="8"/>
      <c r="B341" s="12"/>
      <c r="C341" s="8"/>
      <c r="D341" s="8"/>
      <c r="E341" s="8"/>
      <c r="F341" s="8"/>
      <c r="G341" s="5"/>
      <c r="H341" s="5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  <c r="AAA341" s="3"/>
      <c r="AAB341" s="3"/>
      <c r="AAC341" s="3"/>
      <c r="AAD341" s="3"/>
      <c r="AAE341" s="3"/>
      <c r="AAF341" s="3"/>
      <c r="AAG341" s="3"/>
      <c r="AAH341" s="3"/>
      <c r="AAI341" s="3"/>
      <c r="AAJ341" s="3"/>
      <c r="AAK341" s="3"/>
      <c r="AAL341" s="3"/>
      <c r="AAM341" s="3"/>
    </row>
    <row r="342" spans="1:715" s="2" customFormat="1" ht="50" customHeight="1">
      <c r="A342" s="8"/>
      <c r="B342" s="12"/>
      <c r="C342" s="8"/>
      <c r="D342" s="8"/>
      <c r="E342" s="8"/>
      <c r="F342" s="8"/>
      <c r="G342" s="5"/>
      <c r="H342" s="5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  <c r="AAA342" s="3"/>
      <c r="AAB342" s="3"/>
      <c r="AAC342" s="3"/>
      <c r="AAD342" s="3"/>
      <c r="AAE342" s="3"/>
      <c r="AAF342" s="3"/>
      <c r="AAG342" s="3"/>
      <c r="AAH342" s="3"/>
      <c r="AAI342" s="3"/>
      <c r="AAJ342" s="3"/>
      <c r="AAK342" s="3"/>
      <c r="AAL342" s="3"/>
      <c r="AAM342" s="3"/>
    </row>
    <row r="343" spans="1:715" s="2" customFormat="1" ht="50" customHeight="1">
      <c r="A343" s="8"/>
      <c r="B343" s="12"/>
      <c r="C343" s="8"/>
      <c r="D343" s="8"/>
      <c r="E343" s="8"/>
      <c r="F343" s="8"/>
      <c r="G343" s="5"/>
      <c r="H343" s="5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  <c r="AAA343" s="3"/>
      <c r="AAB343" s="3"/>
      <c r="AAC343" s="3"/>
      <c r="AAD343" s="3"/>
      <c r="AAE343" s="3"/>
      <c r="AAF343" s="3"/>
      <c r="AAG343" s="3"/>
      <c r="AAH343" s="3"/>
      <c r="AAI343" s="3"/>
      <c r="AAJ343" s="3"/>
      <c r="AAK343" s="3"/>
      <c r="AAL343" s="3"/>
      <c r="AAM343" s="3"/>
    </row>
    <row r="344" spans="1:715" s="2" customFormat="1" ht="50" customHeight="1">
      <c r="A344" s="8"/>
      <c r="B344" s="12"/>
      <c r="C344" s="8"/>
      <c r="D344" s="8"/>
      <c r="E344" s="8"/>
      <c r="F344" s="8"/>
      <c r="G344" s="5"/>
      <c r="H344" s="5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  <c r="AAA344" s="3"/>
      <c r="AAB344" s="3"/>
      <c r="AAC344" s="3"/>
      <c r="AAD344" s="3"/>
      <c r="AAE344" s="3"/>
      <c r="AAF344" s="3"/>
      <c r="AAG344" s="3"/>
      <c r="AAH344" s="3"/>
      <c r="AAI344" s="3"/>
      <c r="AAJ344" s="3"/>
      <c r="AAK344" s="3"/>
      <c r="AAL344" s="3"/>
      <c r="AAM344" s="3"/>
    </row>
    <row r="345" spans="1:715" s="2" customFormat="1" ht="50" customHeight="1">
      <c r="A345" s="8"/>
      <c r="B345" s="12"/>
      <c r="C345" s="8"/>
      <c r="D345" s="8"/>
      <c r="E345" s="8"/>
      <c r="F345" s="8"/>
      <c r="G345" s="5"/>
      <c r="H345" s="5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  <c r="AAA345" s="3"/>
      <c r="AAB345" s="3"/>
      <c r="AAC345" s="3"/>
      <c r="AAD345" s="3"/>
      <c r="AAE345" s="3"/>
      <c r="AAF345" s="3"/>
      <c r="AAG345" s="3"/>
      <c r="AAH345" s="3"/>
      <c r="AAI345" s="3"/>
      <c r="AAJ345" s="3"/>
      <c r="AAK345" s="3"/>
      <c r="AAL345" s="3"/>
      <c r="AAM345" s="3"/>
    </row>
    <row r="346" spans="1:715" s="2" customFormat="1" ht="50" customHeight="1">
      <c r="A346" s="8"/>
      <c r="B346" s="12"/>
      <c r="C346" s="8"/>
      <c r="D346" s="8"/>
      <c r="E346" s="8"/>
      <c r="F346" s="8"/>
      <c r="G346" s="5"/>
      <c r="H346" s="5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  <c r="AAA346" s="3"/>
      <c r="AAB346" s="3"/>
      <c r="AAC346" s="3"/>
      <c r="AAD346" s="3"/>
      <c r="AAE346" s="3"/>
      <c r="AAF346" s="3"/>
      <c r="AAG346" s="3"/>
      <c r="AAH346" s="3"/>
      <c r="AAI346" s="3"/>
      <c r="AAJ346" s="3"/>
      <c r="AAK346" s="3"/>
      <c r="AAL346" s="3"/>
      <c r="AAM346" s="3"/>
    </row>
    <row r="347" spans="1:715" s="2" customFormat="1" ht="50" customHeight="1">
      <c r="A347" s="8"/>
      <c r="B347" s="12"/>
      <c r="C347" s="8"/>
      <c r="D347" s="8"/>
      <c r="E347" s="8"/>
      <c r="F347" s="8"/>
      <c r="G347" s="5"/>
      <c r="H347" s="5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  <c r="AAA347" s="3"/>
      <c r="AAB347" s="3"/>
      <c r="AAC347" s="3"/>
      <c r="AAD347" s="3"/>
      <c r="AAE347" s="3"/>
      <c r="AAF347" s="3"/>
      <c r="AAG347" s="3"/>
      <c r="AAH347" s="3"/>
      <c r="AAI347" s="3"/>
      <c r="AAJ347" s="3"/>
      <c r="AAK347" s="3"/>
      <c r="AAL347" s="3"/>
      <c r="AAM347" s="3"/>
    </row>
    <row r="348" spans="1:715" s="2" customFormat="1" ht="50" customHeight="1">
      <c r="A348" s="8"/>
      <c r="B348" s="12"/>
      <c r="C348" s="8"/>
      <c r="D348" s="8"/>
      <c r="E348" s="8"/>
      <c r="F348" s="8"/>
      <c r="G348" s="5"/>
      <c r="H348" s="5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  <c r="AAA348" s="3"/>
      <c r="AAB348" s="3"/>
      <c r="AAC348" s="3"/>
      <c r="AAD348" s="3"/>
      <c r="AAE348" s="3"/>
      <c r="AAF348" s="3"/>
      <c r="AAG348" s="3"/>
      <c r="AAH348" s="3"/>
      <c r="AAI348" s="3"/>
      <c r="AAJ348" s="3"/>
      <c r="AAK348" s="3"/>
      <c r="AAL348" s="3"/>
      <c r="AAM348" s="3"/>
    </row>
    <row r="349" spans="1:715" s="2" customFormat="1" ht="50" customHeight="1">
      <c r="A349" s="8"/>
      <c r="B349" s="12"/>
      <c r="C349" s="8"/>
      <c r="D349" s="8"/>
      <c r="E349" s="8"/>
      <c r="F349" s="8"/>
      <c r="G349" s="5"/>
      <c r="H349" s="5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  <c r="AAA349" s="3"/>
      <c r="AAB349" s="3"/>
      <c r="AAC349" s="3"/>
      <c r="AAD349" s="3"/>
      <c r="AAE349" s="3"/>
      <c r="AAF349" s="3"/>
      <c r="AAG349" s="3"/>
      <c r="AAH349" s="3"/>
      <c r="AAI349" s="3"/>
      <c r="AAJ349" s="3"/>
      <c r="AAK349" s="3"/>
      <c r="AAL349" s="3"/>
      <c r="AAM349" s="3"/>
    </row>
    <row r="350" spans="1:715" s="2" customFormat="1" ht="50" customHeight="1">
      <c r="A350" s="8"/>
      <c r="B350" s="12"/>
      <c r="C350" s="8"/>
      <c r="D350" s="8"/>
      <c r="E350" s="8"/>
      <c r="F350" s="8"/>
      <c r="G350" s="5"/>
      <c r="H350" s="5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  <c r="AAA350" s="3"/>
      <c r="AAB350" s="3"/>
      <c r="AAC350" s="3"/>
      <c r="AAD350" s="3"/>
      <c r="AAE350" s="3"/>
      <c r="AAF350" s="3"/>
      <c r="AAG350" s="3"/>
      <c r="AAH350" s="3"/>
      <c r="AAI350" s="3"/>
      <c r="AAJ350" s="3"/>
      <c r="AAK350" s="3"/>
      <c r="AAL350" s="3"/>
      <c r="AAM350" s="3"/>
    </row>
    <row r="351" spans="1:715" s="2" customFormat="1" ht="50" customHeight="1">
      <c r="A351" s="8"/>
      <c r="B351" s="12"/>
      <c r="C351" s="8"/>
      <c r="D351" s="8"/>
      <c r="E351" s="8"/>
      <c r="F351" s="8"/>
      <c r="G351" s="5"/>
      <c r="H351" s="5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  <c r="AAA351" s="3"/>
      <c r="AAB351" s="3"/>
      <c r="AAC351" s="3"/>
      <c r="AAD351" s="3"/>
      <c r="AAE351" s="3"/>
      <c r="AAF351" s="3"/>
      <c r="AAG351" s="3"/>
      <c r="AAH351" s="3"/>
      <c r="AAI351" s="3"/>
      <c r="AAJ351" s="3"/>
      <c r="AAK351" s="3"/>
      <c r="AAL351" s="3"/>
      <c r="AAM351" s="3"/>
    </row>
    <row r="352" spans="1:715" s="2" customFormat="1" ht="50" customHeight="1">
      <c r="A352" s="8"/>
      <c r="B352" s="12"/>
      <c r="C352" s="8"/>
      <c r="D352" s="8"/>
      <c r="E352" s="8"/>
      <c r="F352" s="8"/>
      <c r="G352" s="5"/>
      <c r="H352" s="5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  <c r="AAA352" s="3"/>
      <c r="AAB352" s="3"/>
      <c r="AAC352" s="3"/>
      <c r="AAD352" s="3"/>
      <c r="AAE352" s="3"/>
      <c r="AAF352" s="3"/>
      <c r="AAG352" s="3"/>
      <c r="AAH352" s="3"/>
      <c r="AAI352" s="3"/>
      <c r="AAJ352" s="3"/>
      <c r="AAK352" s="3"/>
      <c r="AAL352" s="3"/>
      <c r="AAM352" s="3"/>
    </row>
    <row r="353" spans="1:715" s="2" customFormat="1" ht="50" customHeight="1">
      <c r="A353" s="8"/>
      <c r="B353" s="12"/>
      <c r="C353" s="8"/>
      <c r="D353" s="8"/>
      <c r="E353" s="8"/>
      <c r="F353" s="8"/>
      <c r="G353" s="5"/>
      <c r="H353" s="5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  <c r="AAA353" s="3"/>
      <c r="AAB353" s="3"/>
      <c r="AAC353" s="3"/>
      <c r="AAD353" s="3"/>
      <c r="AAE353" s="3"/>
      <c r="AAF353" s="3"/>
      <c r="AAG353" s="3"/>
      <c r="AAH353" s="3"/>
      <c r="AAI353" s="3"/>
      <c r="AAJ353" s="3"/>
      <c r="AAK353" s="3"/>
      <c r="AAL353" s="3"/>
      <c r="AAM353" s="3"/>
    </row>
    <row r="354" spans="1:715" s="2" customFormat="1" ht="50" customHeight="1">
      <c r="A354" s="8"/>
      <c r="B354" s="12"/>
      <c r="C354" s="8"/>
      <c r="D354" s="8"/>
      <c r="E354" s="8"/>
      <c r="F354" s="8"/>
      <c r="G354" s="5"/>
      <c r="H354" s="5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  <c r="AAA354" s="3"/>
      <c r="AAB354" s="3"/>
      <c r="AAC354" s="3"/>
      <c r="AAD354" s="3"/>
      <c r="AAE354" s="3"/>
      <c r="AAF354" s="3"/>
      <c r="AAG354" s="3"/>
      <c r="AAH354" s="3"/>
      <c r="AAI354" s="3"/>
      <c r="AAJ354" s="3"/>
      <c r="AAK354" s="3"/>
      <c r="AAL354" s="3"/>
      <c r="AAM354" s="3"/>
    </row>
    <row r="355" spans="1:715" s="2" customFormat="1" ht="50" customHeight="1">
      <c r="A355" s="8"/>
      <c r="B355" s="12"/>
      <c r="C355" s="8"/>
      <c r="D355" s="8"/>
      <c r="E355" s="8"/>
      <c r="F355" s="8"/>
      <c r="G355" s="5"/>
      <c r="H355" s="5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  <c r="AAA355" s="3"/>
      <c r="AAB355" s="3"/>
      <c r="AAC355" s="3"/>
      <c r="AAD355" s="3"/>
      <c r="AAE355" s="3"/>
      <c r="AAF355" s="3"/>
      <c r="AAG355" s="3"/>
      <c r="AAH355" s="3"/>
      <c r="AAI355" s="3"/>
      <c r="AAJ355" s="3"/>
      <c r="AAK355" s="3"/>
      <c r="AAL355" s="3"/>
      <c r="AAM355" s="3"/>
    </row>
    <row r="356" spans="1:715" s="2" customFormat="1" ht="50" customHeight="1">
      <c r="A356" s="8"/>
      <c r="B356" s="12"/>
      <c r="C356" s="8"/>
      <c r="D356" s="8"/>
      <c r="E356" s="8"/>
      <c r="F356" s="8"/>
      <c r="G356" s="5"/>
      <c r="H356" s="5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  <c r="AAA356" s="3"/>
      <c r="AAB356" s="3"/>
      <c r="AAC356" s="3"/>
      <c r="AAD356" s="3"/>
      <c r="AAE356" s="3"/>
      <c r="AAF356" s="3"/>
      <c r="AAG356" s="3"/>
      <c r="AAH356" s="3"/>
      <c r="AAI356" s="3"/>
      <c r="AAJ356" s="3"/>
      <c r="AAK356" s="3"/>
      <c r="AAL356" s="3"/>
      <c r="AAM356" s="3"/>
    </row>
    <row r="357" spans="1:715" s="2" customFormat="1" ht="50" customHeight="1">
      <c r="A357" s="8"/>
      <c r="B357" s="12"/>
      <c r="C357" s="8"/>
      <c r="D357" s="8"/>
      <c r="E357" s="8"/>
      <c r="F357" s="8"/>
      <c r="G357" s="5"/>
      <c r="H357" s="5"/>
    </row>
    <row r="358" spans="1:715" s="2" customFormat="1" ht="50" customHeight="1">
      <c r="A358" s="8"/>
      <c r="B358" s="12"/>
      <c r="C358" s="8"/>
      <c r="D358" s="8"/>
      <c r="E358" s="8"/>
      <c r="F358" s="8"/>
      <c r="G358" s="5"/>
      <c r="H358" s="5"/>
    </row>
    <row r="359" spans="1:715" s="2" customFormat="1" ht="50" customHeight="1">
      <c r="A359" s="8"/>
      <c r="B359" s="12"/>
      <c r="C359" s="8"/>
      <c r="D359" s="8"/>
      <c r="E359" s="8"/>
      <c r="F359" s="8"/>
      <c r="G359" s="5"/>
      <c r="H359" s="5"/>
    </row>
    <row r="360" spans="1:715" s="2" customFormat="1" ht="50" customHeight="1">
      <c r="A360" s="8"/>
      <c r="B360" s="12"/>
      <c r="C360" s="8"/>
      <c r="D360" s="8"/>
      <c r="E360" s="8"/>
      <c r="F360" s="8"/>
      <c r="G360" s="5"/>
      <c r="H360" s="5"/>
    </row>
    <row r="361" spans="1:715" s="2" customFormat="1" ht="50" customHeight="1">
      <c r="A361" s="8"/>
      <c r="B361" s="12"/>
      <c r="C361" s="8"/>
      <c r="D361" s="8"/>
      <c r="E361" s="8"/>
      <c r="F361" s="8"/>
      <c r="G361" s="5"/>
      <c r="H361" s="5"/>
    </row>
    <row r="362" spans="1:715" s="2" customFormat="1" ht="50" customHeight="1">
      <c r="A362" s="8"/>
      <c r="B362" s="12"/>
      <c r="C362" s="8"/>
      <c r="D362" s="8"/>
      <c r="E362" s="8"/>
      <c r="F362" s="8"/>
      <c r="G362" s="5"/>
      <c r="H362" s="5"/>
    </row>
    <row r="363" spans="1:715" s="2" customFormat="1" ht="50" customHeight="1">
      <c r="A363" s="8"/>
      <c r="B363" s="12"/>
      <c r="C363" s="8"/>
      <c r="D363" s="8"/>
      <c r="E363" s="8"/>
      <c r="F363" s="8"/>
      <c r="G363" s="5"/>
      <c r="H363" s="5"/>
    </row>
    <row r="364" spans="1:715" s="2" customFormat="1" ht="50" customHeight="1">
      <c r="A364" s="8"/>
      <c r="B364" s="12"/>
      <c r="C364" s="8"/>
      <c r="D364" s="8"/>
      <c r="E364" s="8"/>
      <c r="F364" s="8"/>
      <c r="G364" s="5"/>
      <c r="H364" s="5"/>
    </row>
    <row r="365" spans="1:715" s="2" customFormat="1" ht="50" customHeight="1">
      <c r="A365" s="8"/>
      <c r="B365" s="12"/>
      <c r="C365" s="8"/>
      <c r="D365" s="8"/>
      <c r="E365" s="8"/>
      <c r="F365" s="8"/>
      <c r="G365" s="5"/>
      <c r="H365" s="5"/>
    </row>
    <row r="366" spans="1:715" s="2" customFormat="1" ht="50" customHeight="1">
      <c r="A366" s="8"/>
      <c r="B366" s="12"/>
      <c r="C366" s="8"/>
      <c r="D366" s="8"/>
      <c r="E366" s="8"/>
      <c r="F366" s="8"/>
      <c r="G366" s="5"/>
      <c r="H366" s="5"/>
    </row>
    <row r="367" spans="1:715" s="2" customFormat="1" ht="50" customHeight="1">
      <c r="A367" s="8"/>
      <c r="B367" s="12"/>
      <c r="C367" s="8"/>
      <c r="D367" s="8"/>
      <c r="E367" s="8"/>
      <c r="F367" s="8"/>
      <c r="G367" s="5"/>
      <c r="H367" s="5"/>
    </row>
    <row r="368" spans="1:715" s="2" customFormat="1" ht="50" customHeight="1">
      <c r="A368" s="8"/>
      <c r="B368" s="12"/>
      <c r="C368" s="8"/>
      <c r="D368" s="8"/>
      <c r="E368" s="8"/>
      <c r="F368" s="8"/>
      <c r="G368" s="5"/>
      <c r="H368" s="5"/>
    </row>
    <row r="369" spans="1:8" s="2" customFormat="1" ht="50" customHeight="1">
      <c r="A369" s="8"/>
      <c r="B369" s="12"/>
      <c r="C369" s="8"/>
      <c r="D369" s="8"/>
      <c r="E369" s="8"/>
      <c r="F369" s="8"/>
      <c r="G369" s="5"/>
      <c r="H369" s="5"/>
    </row>
    <row r="370" spans="1:8" s="2" customFormat="1" ht="50" customHeight="1">
      <c r="A370" s="8"/>
      <c r="B370" s="12"/>
      <c r="C370" s="8"/>
      <c r="D370" s="8"/>
      <c r="E370" s="8"/>
      <c r="F370" s="8"/>
      <c r="G370" s="5"/>
      <c r="H370" s="5"/>
    </row>
    <row r="371" spans="1:8" s="2" customFormat="1" ht="50" customHeight="1">
      <c r="A371" s="8"/>
      <c r="B371" s="12"/>
      <c r="C371" s="8"/>
      <c r="D371" s="8"/>
      <c r="E371" s="8"/>
      <c r="F371" s="8"/>
      <c r="G371" s="5"/>
      <c r="H371" s="5"/>
    </row>
    <row r="372" spans="1:8" s="2" customFormat="1" ht="50" customHeight="1">
      <c r="A372" s="8"/>
      <c r="B372" s="12"/>
      <c r="C372" s="8"/>
      <c r="D372" s="8"/>
      <c r="E372" s="8"/>
      <c r="F372" s="8"/>
      <c r="G372" s="5"/>
      <c r="H372" s="5"/>
    </row>
    <row r="373" spans="1:8" s="2" customFormat="1" ht="50" customHeight="1">
      <c r="A373" s="8"/>
      <c r="B373" s="12"/>
      <c r="C373" s="8"/>
      <c r="D373" s="8"/>
      <c r="E373" s="8"/>
      <c r="F373" s="8"/>
      <c r="G373" s="5"/>
      <c r="H373" s="5"/>
    </row>
    <row r="374" spans="1:8" s="2" customFormat="1" ht="50" customHeight="1">
      <c r="A374" s="8"/>
      <c r="B374" s="12"/>
      <c r="C374" s="8"/>
      <c r="D374" s="8"/>
      <c r="E374" s="8"/>
      <c r="F374" s="8"/>
      <c r="G374" s="5"/>
      <c r="H374" s="5"/>
    </row>
    <row r="375" spans="1:8" s="2" customFormat="1" ht="50" customHeight="1">
      <c r="A375" s="8"/>
      <c r="B375" s="12"/>
      <c r="C375" s="8"/>
      <c r="D375" s="8"/>
      <c r="E375" s="8"/>
      <c r="F375" s="8"/>
      <c r="G375" s="5"/>
      <c r="H375" s="5"/>
    </row>
    <row r="376" spans="1:8" s="2" customFormat="1" ht="50" customHeight="1">
      <c r="A376" s="8"/>
      <c r="B376" s="12"/>
      <c r="C376" s="8"/>
      <c r="D376" s="8"/>
      <c r="E376" s="8"/>
      <c r="F376" s="8"/>
      <c r="G376" s="5"/>
      <c r="H376" s="5"/>
    </row>
    <row r="377" spans="1:8" s="2" customFormat="1" ht="50" customHeight="1">
      <c r="A377" s="8"/>
      <c r="B377" s="12"/>
      <c r="C377" s="8"/>
      <c r="D377" s="8"/>
      <c r="E377" s="8"/>
      <c r="F377" s="8"/>
      <c r="G377" s="5"/>
      <c r="H377" s="5"/>
    </row>
    <row r="378" spans="1:8" s="2" customFormat="1" ht="50" customHeight="1">
      <c r="A378" s="8"/>
      <c r="B378" s="12"/>
      <c r="C378" s="8"/>
      <c r="D378" s="8"/>
      <c r="E378" s="8"/>
      <c r="F378" s="8"/>
      <c r="G378" s="5"/>
      <c r="H378" s="5"/>
    </row>
    <row r="379" spans="1:8" s="2" customFormat="1" ht="50" customHeight="1">
      <c r="A379" s="8"/>
      <c r="B379" s="12"/>
      <c r="C379" s="8"/>
      <c r="D379" s="8"/>
      <c r="E379" s="8"/>
      <c r="F379" s="8"/>
      <c r="G379" s="5"/>
      <c r="H379" s="5"/>
    </row>
    <row r="380" spans="1:8" s="2" customFormat="1" ht="50" customHeight="1">
      <c r="A380" s="8"/>
      <c r="B380" s="12"/>
      <c r="C380" s="8"/>
      <c r="D380" s="8"/>
      <c r="E380" s="8"/>
      <c r="F380" s="8"/>
      <c r="G380" s="5"/>
      <c r="H380" s="5"/>
    </row>
    <row r="381" spans="1:8" s="2" customFormat="1" ht="50" customHeight="1">
      <c r="A381" s="8"/>
      <c r="B381" s="12"/>
      <c r="C381" s="8"/>
      <c r="D381" s="8"/>
      <c r="E381" s="8"/>
      <c r="F381" s="8"/>
      <c r="G381" s="5"/>
      <c r="H381" s="5"/>
    </row>
    <row r="382" spans="1:8" s="2" customFormat="1" ht="50" customHeight="1">
      <c r="A382" s="8"/>
      <c r="B382" s="12"/>
      <c r="C382" s="8"/>
      <c r="D382" s="8"/>
      <c r="E382" s="8"/>
      <c r="F382" s="8"/>
      <c r="G382" s="5"/>
      <c r="H382" s="5"/>
    </row>
    <row r="383" spans="1:8" s="2" customFormat="1" ht="50" customHeight="1">
      <c r="A383" s="8"/>
      <c r="B383" s="12"/>
      <c r="C383" s="8"/>
      <c r="D383" s="8"/>
      <c r="E383" s="8"/>
      <c r="F383" s="8"/>
      <c r="G383" s="5"/>
      <c r="H383" s="5"/>
    </row>
    <row r="384" spans="1:8" s="2" customFormat="1" ht="50" customHeight="1">
      <c r="A384" s="8"/>
      <c r="B384" s="12"/>
      <c r="C384" s="8"/>
      <c r="D384" s="8"/>
      <c r="E384" s="8"/>
      <c r="F384" s="8"/>
      <c r="G384" s="5"/>
      <c r="H384" s="5"/>
    </row>
    <row r="385" spans="1:8" s="2" customFormat="1" ht="50" customHeight="1">
      <c r="A385" s="8"/>
      <c r="B385" s="12"/>
      <c r="C385" s="8"/>
      <c r="D385" s="8"/>
      <c r="E385" s="8"/>
      <c r="F385" s="8"/>
      <c r="G385" s="5"/>
      <c r="H385" s="5"/>
    </row>
    <row r="386" spans="1:8" s="2" customFormat="1" ht="50" customHeight="1">
      <c r="A386" s="8"/>
      <c r="B386" s="12"/>
      <c r="C386" s="8"/>
      <c r="D386" s="8"/>
      <c r="E386" s="8"/>
      <c r="F386" s="8"/>
      <c r="G386" s="5"/>
      <c r="H386" s="5"/>
    </row>
    <row r="387" spans="1:8" s="2" customFormat="1" ht="50" customHeight="1">
      <c r="A387" s="8"/>
      <c r="B387" s="12"/>
      <c r="C387" s="8"/>
      <c r="D387" s="8"/>
      <c r="E387" s="8"/>
      <c r="F387" s="8"/>
      <c r="G387" s="5"/>
      <c r="H387" s="5"/>
    </row>
    <row r="388" spans="1:8" s="2" customFormat="1" ht="50" customHeight="1">
      <c r="A388" s="8"/>
      <c r="B388" s="12"/>
      <c r="C388" s="8"/>
      <c r="D388" s="8"/>
      <c r="E388" s="8"/>
      <c r="F388" s="8"/>
      <c r="G388" s="5"/>
      <c r="H388" s="5"/>
    </row>
    <row r="389" spans="1:8" s="2" customFormat="1" ht="50" customHeight="1">
      <c r="A389" s="8"/>
      <c r="B389" s="12"/>
      <c r="C389" s="8"/>
      <c r="D389" s="8"/>
      <c r="E389" s="8"/>
      <c r="F389" s="8"/>
      <c r="G389" s="5"/>
      <c r="H389" s="5"/>
    </row>
    <row r="390" spans="1:8" s="2" customFormat="1" ht="50" customHeight="1">
      <c r="A390" s="8"/>
      <c r="B390" s="12"/>
      <c r="C390" s="8"/>
      <c r="D390" s="8"/>
      <c r="E390" s="8"/>
      <c r="F390" s="8"/>
      <c r="G390" s="5"/>
      <c r="H390" s="5"/>
    </row>
    <row r="391" spans="1:8" s="2" customFormat="1" ht="50" customHeight="1">
      <c r="A391" s="8"/>
      <c r="B391" s="12"/>
      <c r="C391" s="8"/>
      <c r="D391" s="8"/>
      <c r="E391" s="8"/>
      <c r="F391" s="8"/>
      <c r="G391" s="5"/>
      <c r="H391" s="5"/>
    </row>
    <row r="392" spans="1:8" s="2" customFormat="1" ht="50" customHeight="1">
      <c r="A392" s="8"/>
      <c r="B392" s="12"/>
      <c r="C392" s="8"/>
      <c r="D392" s="8"/>
      <c r="E392" s="8"/>
      <c r="F392" s="8"/>
      <c r="G392" s="5"/>
      <c r="H392" s="5"/>
    </row>
    <row r="393" spans="1:8" s="2" customFormat="1" ht="50" customHeight="1">
      <c r="A393" s="8"/>
      <c r="B393" s="12"/>
      <c r="C393" s="8"/>
      <c r="D393" s="8"/>
      <c r="E393" s="8"/>
      <c r="F393" s="8"/>
      <c r="G393" s="5"/>
      <c r="H393" s="5"/>
    </row>
    <row r="394" spans="1:8" s="2" customFormat="1" ht="50" customHeight="1">
      <c r="A394" s="8"/>
      <c r="B394" s="12"/>
      <c r="C394" s="8"/>
      <c r="D394" s="8"/>
      <c r="E394" s="8"/>
      <c r="F394" s="8"/>
      <c r="G394" s="5"/>
      <c r="H394" s="5"/>
    </row>
    <row r="395" spans="1:8" s="2" customFormat="1" ht="50" customHeight="1">
      <c r="A395" s="8"/>
      <c r="B395" s="12"/>
      <c r="C395" s="8"/>
      <c r="D395" s="8"/>
      <c r="E395" s="8"/>
      <c r="F395" s="8"/>
      <c r="G395" s="5"/>
      <c r="H395" s="5"/>
    </row>
    <row r="396" spans="1:8" s="2" customFormat="1" ht="50" customHeight="1">
      <c r="A396" s="8"/>
      <c r="B396" s="12"/>
      <c r="C396" s="8"/>
      <c r="D396" s="8"/>
      <c r="E396" s="8"/>
      <c r="F396" s="8"/>
      <c r="G396" s="5"/>
      <c r="H396" s="5"/>
    </row>
    <row r="397" spans="1:8" s="2" customFormat="1" ht="50" customHeight="1">
      <c r="A397" s="8"/>
      <c r="B397" s="12"/>
      <c r="C397" s="8"/>
      <c r="D397" s="8"/>
      <c r="E397" s="8"/>
      <c r="F397" s="8"/>
      <c r="G397" s="5"/>
      <c r="H397" s="5"/>
    </row>
    <row r="398" spans="1:8" s="2" customFormat="1" ht="50" customHeight="1">
      <c r="A398" s="8"/>
      <c r="B398" s="12"/>
      <c r="C398" s="8"/>
      <c r="D398" s="8"/>
      <c r="E398" s="8"/>
      <c r="F398" s="8"/>
      <c r="G398" s="5"/>
      <c r="H398" s="5"/>
    </row>
    <row r="399" spans="1:8" s="2" customFormat="1" ht="50" customHeight="1">
      <c r="A399" s="8"/>
      <c r="B399" s="12"/>
      <c r="C399" s="8"/>
      <c r="D399" s="8"/>
      <c r="E399" s="8"/>
      <c r="F399" s="8"/>
      <c r="G399" s="5"/>
      <c r="H399" s="5"/>
    </row>
    <row r="400" spans="1:8" s="2" customFormat="1" ht="50" customHeight="1">
      <c r="A400" s="8"/>
      <c r="B400" s="12"/>
      <c r="C400" s="8"/>
      <c r="D400" s="8"/>
      <c r="E400" s="8"/>
      <c r="F400" s="8"/>
      <c r="G400" s="5"/>
      <c r="H400" s="5"/>
    </row>
    <row r="401" spans="1:8" s="2" customFormat="1" ht="50" customHeight="1">
      <c r="A401" s="8"/>
      <c r="B401" s="12"/>
      <c r="C401" s="8"/>
      <c r="D401" s="8"/>
      <c r="E401" s="8"/>
      <c r="F401" s="8"/>
      <c r="G401" s="5"/>
      <c r="H401" s="5"/>
    </row>
    <row r="402" spans="1:8" s="2" customFormat="1" ht="50" customHeight="1">
      <c r="A402" s="8"/>
      <c r="B402" s="12"/>
      <c r="C402" s="8"/>
      <c r="D402" s="8"/>
      <c r="E402" s="8"/>
      <c r="F402" s="8"/>
      <c r="G402" s="5"/>
      <c r="H402" s="5"/>
    </row>
    <row r="403" spans="1:8" s="2" customFormat="1" ht="50" customHeight="1">
      <c r="A403" s="8"/>
      <c r="B403" s="12"/>
      <c r="C403" s="8"/>
      <c r="D403" s="8"/>
      <c r="E403" s="8"/>
      <c r="F403" s="8"/>
      <c r="G403" s="5"/>
      <c r="H403" s="5"/>
    </row>
    <row r="404" spans="1:8" s="2" customFormat="1" ht="50" customHeight="1">
      <c r="A404" s="8"/>
      <c r="B404" s="12"/>
      <c r="C404" s="8"/>
      <c r="D404" s="8"/>
      <c r="E404" s="8"/>
      <c r="F404" s="8"/>
      <c r="G404" s="5"/>
      <c r="H404" s="5"/>
    </row>
    <row r="405" spans="1:8" s="2" customFormat="1" ht="50" customHeight="1">
      <c r="A405" s="8"/>
      <c r="B405" s="12"/>
      <c r="C405" s="8"/>
      <c r="D405" s="8"/>
      <c r="E405" s="8"/>
      <c r="F405" s="8"/>
      <c r="G405" s="5"/>
      <c r="H405" s="5"/>
    </row>
    <row r="406" spans="1:8" s="2" customFormat="1" ht="50" customHeight="1">
      <c r="A406" s="8"/>
      <c r="B406" s="12"/>
      <c r="C406" s="8"/>
      <c r="D406" s="8"/>
      <c r="E406" s="8"/>
      <c r="F406" s="8"/>
      <c r="G406" s="5"/>
      <c r="H406" s="5"/>
    </row>
    <row r="407" spans="1:8" s="2" customFormat="1" ht="50" customHeight="1">
      <c r="A407" s="8"/>
      <c r="B407" s="12"/>
      <c r="C407" s="8"/>
      <c r="D407" s="8"/>
      <c r="E407" s="8"/>
      <c r="F407" s="8"/>
      <c r="G407" s="5"/>
      <c r="H407" s="5"/>
    </row>
    <row r="408" spans="1:8" s="2" customFormat="1" ht="50" customHeight="1">
      <c r="A408" s="8"/>
      <c r="B408" s="12"/>
      <c r="C408" s="8"/>
      <c r="D408" s="8"/>
      <c r="E408" s="8"/>
      <c r="F408" s="8"/>
      <c r="G408" s="5"/>
      <c r="H408" s="5"/>
    </row>
    <row r="409" spans="1:8" s="2" customFormat="1" ht="50" customHeight="1">
      <c r="A409" s="8"/>
      <c r="B409" s="12"/>
      <c r="C409" s="8"/>
      <c r="D409" s="8"/>
      <c r="E409" s="8"/>
      <c r="F409" s="8"/>
      <c r="G409" s="5"/>
      <c r="H409" s="5"/>
    </row>
    <row r="410" spans="1:8" s="2" customFormat="1" ht="50" customHeight="1">
      <c r="A410" s="8"/>
      <c r="B410" s="12"/>
      <c r="C410" s="8"/>
      <c r="D410" s="8"/>
      <c r="E410" s="8"/>
      <c r="F410" s="8"/>
      <c r="G410" s="5"/>
      <c r="H410" s="5"/>
    </row>
    <row r="411" spans="1:8" s="2" customFormat="1" ht="50" customHeight="1">
      <c r="A411" s="8"/>
      <c r="B411" s="12"/>
      <c r="C411" s="8"/>
      <c r="D411" s="8"/>
      <c r="E411" s="8"/>
      <c r="F411" s="8"/>
      <c r="G411" s="5"/>
      <c r="H411" s="5"/>
    </row>
    <row r="412" spans="1:8" s="2" customFormat="1" ht="50" customHeight="1">
      <c r="A412" s="8"/>
      <c r="B412" s="12"/>
      <c r="C412" s="8"/>
      <c r="D412" s="8"/>
      <c r="E412" s="8"/>
      <c r="F412" s="8"/>
      <c r="G412" s="5"/>
      <c r="H412" s="5"/>
    </row>
    <row r="413" spans="1:8" s="2" customFormat="1" ht="50" customHeight="1">
      <c r="A413" s="8"/>
      <c r="B413" s="12"/>
      <c r="C413" s="8"/>
      <c r="D413" s="8"/>
      <c r="E413" s="8"/>
      <c r="F413" s="8"/>
      <c r="G413" s="5"/>
      <c r="H413" s="5"/>
    </row>
    <row r="414" spans="1:8" s="2" customFormat="1" ht="50" customHeight="1">
      <c r="A414" s="8"/>
      <c r="B414" s="12"/>
      <c r="C414" s="8"/>
      <c r="D414" s="8"/>
      <c r="E414" s="8"/>
      <c r="F414" s="8"/>
      <c r="G414" s="5"/>
      <c r="H414" s="5"/>
    </row>
    <row r="415" spans="1:8" s="2" customFormat="1" ht="50" customHeight="1">
      <c r="A415" s="8"/>
      <c r="B415" s="12"/>
      <c r="C415" s="8"/>
      <c r="D415" s="8"/>
      <c r="E415" s="8"/>
      <c r="F415" s="8"/>
      <c r="G415" s="5"/>
      <c r="H415" s="5"/>
    </row>
    <row r="416" spans="1:8" s="2" customFormat="1" ht="50" customHeight="1">
      <c r="A416" s="8"/>
      <c r="B416" s="12"/>
      <c r="C416" s="8"/>
      <c r="D416" s="8"/>
      <c r="E416" s="8"/>
      <c r="F416" s="8"/>
      <c r="G416" s="5"/>
      <c r="H416" s="5"/>
    </row>
    <row r="417" spans="1:8" s="2" customFormat="1" ht="50" customHeight="1">
      <c r="A417" s="8"/>
      <c r="B417" s="12"/>
      <c r="C417" s="8"/>
      <c r="D417" s="8"/>
      <c r="E417" s="8"/>
      <c r="F417" s="8"/>
      <c r="G417" s="5"/>
      <c r="H417" s="5"/>
    </row>
    <row r="418" spans="1:8" s="2" customFormat="1" ht="50" customHeight="1">
      <c r="A418" s="8"/>
      <c r="B418" s="12"/>
      <c r="C418" s="8"/>
      <c r="D418" s="8"/>
      <c r="E418" s="8"/>
      <c r="F418" s="8"/>
      <c r="G418" s="5"/>
      <c r="H418" s="5"/>
    </row>
    <row r="419" spans="1:8" s="2" customFormat="1" ht="50" customHeight="1">
      <c r="A419" s="8"/>
      <c r="B419" s="12"/>
      <c r="C419" s="8"/>
      <c r="D419" s="8"/>
      <c r="E419" s="8"/>
      <c r="F419" s="8"/>
      <c r="G419" s="5"/>
      <c r="H419" s="5"/>
    </row>
    <row r="420" spans="1:8" s="2" customFormat="1" ht="50" customHeight="1">
      <c r="A420" s="8"/>
      <c r="B420" s="12"/>
      <c r="C420" s="8"/>
      <c r="D420" s="8"/>
      <c r="E420" s="8"/>
      <c r="F420" s="8"/>
      <c r="G420" s="5"/>
      <c r="H420" s="5"/>
    </row>
  </sheetData>
  <mergeCells count="144">
    <mergeCell ref="G22:H22"/>
    <mergeCell ref="I22:J22"/>
    <mergeCell ref="K22:L22"/>
    <mergeCell ref="M22:N22"/>
    <mergeCell ref="O22:P22"/>
    <mergeCell ref="G21:H21"/>
    <mergeCell ref="I21:J21"/>
    <mergeCell ref="K21:L21"/>
    <mergeCell ref="M21:N21"/>
    <mergeCell ref="O21:P21"/>
    <mergeCell ref="M19:N19"/>
    <mergeCell ref="O19:P19"/>
    <mergeCell ref="G20:H20"/>
    <mergeCell ref="I20:J20"/>
    <mergeCell ref="K20:L20"/>
    <mergeCell ref="M20:N20"/>
    <mergeCell ref="O20:P20"/>
    <mergeCell ref="AM28:AN28"/>
    <mergeCell ref="AM29:AN29"/>
    <mergeCell ref="G19:H19"/>
    <mergeCell ref="I19:J19"/>
    <mergeCell ref="K19:L19"/>
    <mergeCell ref="AA28:AB28"/>
    <mergeCell ref="AA29:AB29"/>
    <mergeCell ref="AE28:AF28"/>
    <mergeCell ref="AE29:AF29"/>
    <mergeCell ref="AI28:AJ28"/>
    <mergeCell ref="AI29:AJ29"/>
    <mergeCell ref="AI24:AJ24"/>
    <mergeCell ref="AI25:AJ25"/>
    <mergeCell ref="AM24:AN24"/>
    <mergeCell ref="AM25:AN25"/>
    <mergeCell ref="Z27:AA27"/>
    <mergeCell ref="Z23:AA23"/>
    <mergeCell ref="G13:J13"/>
    <mergeCell ref="G17:H17"/>
    <mergeCell ref="I17:J17"/>
    <mergeCell ref="K17:L17"/>
    <mergeCell ref="M17:N17"/>
    <mergeCell ref="O17:P17"/>
    <mergeCell ref="G18:H18"/>
    <mergeCell ref="I18:J18"/>
    <mergeCell ref="K18:L18"/>
    <mergeCell ref="M18:N18"/>
    <mergeCell ref="O18:P18"/>
    <mergeCell ref="AA24:AB24"/>
    <mergeCell ref="AA25:AB25"/>
    <mergeCell ref="AE24:AF24"/>
    <mergeCell ref="AE25:AF25"/>
    <mergeCell ref="AM16:AN16"/>
    <mergeCell ref="AM17:AN17"/>
    <mergeCell ref="Z19:AA19"/>
    <mergeCell ref="AA20:AB20"/>
    <mergeCell ref="AA21:AB21"/>
    <mergeCell ref="AE20:AF20"/>
    <mergeCell ref="AE21:AF21"/>
    <mergeCell ref="AI20:AJ20"/>
    <mergeCell ref="AI21:AJ21"/>
    <mergeCell ref="AM20:AN20"/>
    <mergeCell ref="AM21:AN21"/>
    <mergeCell ref="AA17:AB17"/>
    <mergeCell ref="AE16:AF16"/>
    <mergeCell ref="AE17:AF17"/>
    <mergeCell ref="AI16:AJ16"/>
    <mergeCell ref="AI17:AJ17"/>
    <mergeCell ref="AE12:AF12"/>
    <mergeCell ref="AE13:AF13"/>
    <mergeCell ref="AI12:AJ12"/>
    <mergeCell ref="AI13:AJ13"/>
    <mergeCell ref="AM12:AN12"/>
    <mergeCell ref="AM13:AN13"/>
    <mergeCell ref="AE8:AF8"/>
    <mergeCell ref="AE9:AF9"/>
    <mergeCell ref="AI8:AJ8"/>
    <mergeCell ref="AI9:AJ9"/>
    <mergeCell ref="AM8:AN8"/>
    <mergeCell ref="AM9:AN9"/>
    <mergeCell ref="AI4:AJ4"/>
    <mergeCell ref="AI5:AJ5"/>
    <mergeCell ref="AM4:AN4"/>
    <mergeCell ref="AM5:AN5"/>
    <mergeCell ref="Z7:AA7"/>
    <mergeCell ref="Z3:AA3"/>
    <mergeCell ref="Z2:AC2"/>
    <mergeCell ref="AA4:AB4"/>
    <mergeCell ref="AA5:AB5"/>
    <mergeCell ref="AE4:AF4"/>
    <mergeCell ref="AE5:AF5"/>
    <mergeCell ref="G9:H9"/>
    <mergeCell ref="S3:T3"/>
    <mergeCell ref="G10:H10"/>
    <mergeCell ref="U3:V3"/>
    <mergeCell ref="W3:X3"/>
    <mergeCell ref="S9:T9"/>
    <mergeCell ref="U10:V10"/>
    <mergeCell ref="G16:H16"/>
    <mergeCell ref="I16:J16"/>
    <mergeCell ref="K16:L16"/>
    <mergeCell ref="M16:N16"/>
    <mergeCell ref="O16:P16"/>
    <mergeCell ref="G15:H15"/>
    <mergeCell ref="I15:J15"/>
    <mergeCell ref="K15:L15"/>
    <mergeCell ref="M15:N15"/>
    <mergeCell ref="O15:P15"/>
    <mergeCell ref="G14:H14"/>
    <mergeCell ref="I14:J14"/>
    <mergeCell ref="K14:L14"/>
    <mergeCell ref="M14:N14"/>
    <mergeCell ref="O14:P14"/>
    <mergeCell ref="G8:H8"/>
    <mergeCell ref="G11:H11"/>
    <mergeCell ref="AA12:AB12"/>
    <mergeCell ref="AA13:AB13"/>
    <mergeCell ref="Z15:AA15"/>
    <mergeCell ref="AA16:AB16"/>
    <mergeCell ref="W11:X11"/>
    <mergeCell ref="Z11:AA11"/>
    <mergeCell ref="AA8:AB8"/>
    <mergeCell ref="AA9:AB9"/>
    <mergeCell ref="Q8:R8"/>
    <mergeCell ref="A1:W1"/>
    <mergeCell ref="D2:E2"/>
    <mergeCell ref="D3:E3"/>
    <mergeCell ref="K3:L3"/>
    <mergeCell ref="M3:N3"/>
    <mergeCell ref="Q3:R3"/>
    <mergeCell ref="D8:E8"/>
    <mergeCell ref="D6:E6"/>
    <mergeCell ref="D7:E7"/>
    <mergeCell ref="D4:E4"/>
    <mergeCell ref="D5:E5"/>
    <mergeCell ref="G3:H3"/>
    <mergeCell ref="G2:J2"/>
    <mergeCell ref="O3:P3"/>
    <mergeCell ref="I4:J4"/>
    <mergeCell ref="K5:L5"/>
    <mergeCell ref="M6:N6"/>
    <mergeCell ref="O7:P7"/>
    <mergeCell ref="G4:H4"/>
    <mergeCell ref="I3:J3"/>
    <mergeCell ref="G5:H5"/>
    <mergeCell ref="G6:H6"/>
    <mergeCell ref="G7:H7"/>
  </mergeCells>
  <phoneticPr fontId="10" type="noConversion"/>
  <conditionalFormatting sqref="DY4:DY5">
    <cfRule type="cellIs" dxfId="2080" priority="21323" stopIfTrue="1" operator="equal">
      <formula>2</formula>
    </cfRule>
  </conditionalFormatting>
  <conditionalFormatting sqref="DY4">
    <cfRule type="expression" dxfId="2079" priority="21322" stopIfTrue="1">
      <formula>$DY$5=2</formula>
    </cfRule>
  </conditionalFormatting>
  <conditionalFormatting sqref="DY5">
    <cfRule type="expression" dxfId="2078" priority="21321" stopIfTrue="1">
      <formula>$DY$4=2</formula>
    </cfRule>
  </conditionalFormatting>
  <conditionalFormatting sqref="DY4:DY5">
    <cfRule type="expression" dxfId="2077" priority="21316" stopIfTrue="1">
      <formula>NOT(AND(SUM($DY$4:$DY$5) &lt;= 3,AND(NOT($DY$4&lt;0),NOT($DY$5&lt;0)),NOT(AND($DY$4=0,$DY$5=3)),NOT(AND($DY$4=3,$DY$5=0))))</formula>
    </cfRule>
  </conditionalFormatting>
  <conditionalFormatting sqref="EC4:EC5">
    <cfRule type="cellIs" dxfId="2076" priority="21319" stopIfTrue="1" operator="equal">
      <formula>2</formula>
    </cfRule>
  </conditionalFormatting>
  <conditionalFormatting sqref="EC4">
    <cfRule type="expression" dxfId="2075" priority="21318" stopIfTrue="1">
      <formula>$EC$5=2</formula>
    </cfRule>
  </conditionalFormatting>
  <conditionalFormatting sqref="EC5">
    <cfRule type="expression" dxfId="2074" priority="21317" stopIfTrue="1">
      <formula>$EC$4=2</formula>
    </cfRule>
  </conditionalFormatting>
  <conditionalFormatting sqref="EC4:EC5">
    <cfRule type="expression" dxfId="2073" priority="21312" stopIfTrue="1">
      <formula>NOT(AND(SUM($EC$4:$EC$5) &lt;= 3,AND(NOT($EC$4&lt;0),NOT($EC$5&lt;0)),NOT(AND($EC$4=0,$EC$5=3)),NOT(AND($EC$4=3,$EC$5=0))))</formula>
    </cfRule>
  </conditionalFormatting>
  <conditionalFormatting sqref="EG4:EG5">
    <cfRule type="cellIs" dxfId="2072" priority="21315" stopIfTrue="1" operator="equal">
      <formula>2</formula>
    </cfRule>
  </conditionalFormatting>
  <conditionalFormatting sqref="EG4">
    <cfRule type="expression" dxfId="2071" priority="21314" stopIfTrue="1">
      <formula>$EG$5=2</formula>
    </cfRule>
  </conditionalFormatting>
  <conditionalFormatting sqref="EG5">
    <cfRule type="expression" dxfId="2070" priority="21313" stopIfTrue="1">
      <formula>$EG$4=2</formula>
    </cfRule>
  </conditionalFormatting>
  <conditionalFormatting sqref="EG4:EG5">
    <cfRule type="expression" dxfId="2069" priority="21308" stopIfTrue="1">
      <formula>NOT(AND(SUM($EG$4:$EG$5) &lt;= 3,AND(NOT($EG$4&lt;0),NOT($EG$5&lt;0)),NOT(AND($EG$4=0,$EG$5=3)),NOT(AND($EG$4=3,$EG$5=0))))</formula>
    </cfRule>
  </conditionalFormatting>
  <conditionalFormatting sqref="EK4:EK5">
    <cfRule type="cellIs" dxfId="2068" priority="21311" stopIfTrue="1" operator="equal">
      <formula>2</formula>
    </cfRule>
  </conditionalFormatting>
  <conditionalFormatting sqref="EK4">
    <cfRule type="expression" dxfId="2067" priority="21310" stopIfTrue="1">
      <formula>$EK$5=2</formula>
    </cfRule>
  </conditionalFormatting>
  <conditionalFormatting sqref="EK5">
    <cfRule type="expression" dxfId="2066" priority="21309" stopIfTrue="1">
      <formula>$EK$4=2</formula>
    </cfRule>
  </conditionalFormatting>
  <conditionalFormatting sqref="EK4:EK5">
    <cfRule type="expression" dxfId="2065" priority="21304" stopIfTrue="1">
      <formula>NOT(AND(SUM($EK$4:$EK$5) &lt;= 3,AND(NOT($EK$4&lt;0),NOT($EK$5&lt;0)),NOT(AND($EK$4=0,$EK$5=3)),NOT(AND($EK$4=3,$EK$5=0))))</formula>
    </cfRule>
  </conditionalFormatting>
  <conditionalFormatting sqref="EO4:EO5">
    <cfRule type="cellIs" dxfId="2064" priority="21307" stopIfTrue="1" operator="equal">
      <formula>2</formula>
    </cfRule>
  </conditionalFormatting>
  <conditionalFormatting sqref="EO4">
    <cfRule type="expression" dxfId="2063" priority="21306" stopIfTrue="1">
      <formula>$EO$5=2</formula>
    </cfRule>
  </conditionalFormatting>
  <conditionalFormatting sqref="EO5">
    <cfRule type="expression" dxfId="2062" priority="21305" stopIfTrue="1">
      <formula>$EO$4=2</formula>
    </cfRule>
  </conditionalFormatting>
  <conditionalFormatting sqref="EO4:EO5">
    <cfRule type="expression" dxfId="2061" priority="21300" stopIfTrue="1">
      <formula>NOT(AND(SUM($EO$4:$EO$5) &lt;= 3,AND(NOT($EO$4&lt;0),NOT($EO$5&lt;0)),NOT(AND($EO$4=0,$EO$5=3)),NOT(AND($EO$4=3,$EO$5=0))))</formula>
    </cfRule>
  </conditionalFormatting>
  <conditionalFormatting sqref="ES4:ES5">
    <cfRule type="cellIs" dxfId="2060" priority="21303" stopIfTrue="1" operator="equal">
      <formula>2</formula>
    </cfRule>
  </conditionalFormatting>
  <conditionalFormatting sqref="ES4">
    <cfRule type="expression" dxfId="2059" priority="21302" stopIfTrue="1">
      <formula>$ES$5=2</formula>
    </cfRule>
  </conditionalFormatting>
  <conditionalFormatting sqref="ES5">
    <cfRule type="expression" dxfId="2058" priority="21301" stopIfTrue="1">
      <formula>$ES$4=2</formula>
    </cfRule>
  </conditionalFormatting>
  <conditionalFormatting sqref="ES4:ES5">
    <cfRule type="expression" dxfId="2057" priority="21296" stopIfTrue="1">
      <formula>NOT(AND(SUM($ES$4:$ES$5) &lt;= 3,AND(NOT($ES$4&lt;0),NOT($ES$5&lt;0)),NOT(AND($ES$4=0,$ES$5=3)),NOT(AND($ES$4=3,$ES$5=0))))</formula>
    </cfRule>
  </conditionalFormatting>
  <conditionalFormatting sqref="EW4:EW5">
    <cfRule type="cellIs" dxfId="2056" priority="21299" stopIfTrue="1" operator="equal">
      <formula>2</formula>
    </cfRule>
  </conditionalFormatting>
  <conditionalFormatting sqref="EW4">
    <cfRule type="expression" dxfId="2055" priority="21298" stopIfTrue="1">
      <formula>$EW$5=2</formula>
    </cfRule>
  </conditionalFormatting>
  <conditionalFormatting sqref="EW5">
    <cfRule type="expression" dxfId="2054" priority="21297" stopIfTrue="1">
      <formula>$EW$4=2</formula>
    </cfRule>
  </conditionalFormatting>
  <conditionalFormatting sqref="EW4:EW5">
    <cfRule type="expression" dxfId="2053" priority="21292" stopIfTrue="1">
      <formula>NOT(AND(SUM($EW$4:$EW$5) &lt;= 3,AND(NOT($EW$4&lt;0),NOT($EW$5&lt;0)),NOT(AND($EW$4=0,$EW$5=3)),NOT(AND($EW$4=3,$EW$5=0))))</formula>
    </cfRule>
  </conditionalFormatting>
  <conditionalFormatting sqref="FA4:FA5">
    <cfRule type="cellIs" dxfId="2052" priority="21295" stopIfTrue="1" operator="equal">
      <formula>2</formula>
    </cfRule>
  </conditionalFormatting>
  <conditionalFormatting sqref="FA4">
    <cfRule type="expression" dxfId="2051" priority="21294" stopIfTrue="1">
      <formula>$FA$5=2</formula>
    </cfRule>
  </conditionalFormatting>
  <conditionalFormatting sqref="FA5">
    <cfRule type="expression" dxfId="2050" priority="21293" stopIfTrue="1">
      <formula>$FA$4=2</formula>
    </cfRule>
  </conditionalFormatting>
  <conditionalFormatting sqref="FA4:FA5">
    <cfRule type="expression" dxfId="2049" priority="21288" stopIfTrue="1">
      <formula>NOT(AND(SUM($FA$4:$FA$5) &lt;= 3,AND(NOT($FA$4&lt;0),NOT($FA$5&lt;0)),NOT(AND($FA$4=0,$FA$5=3)),NOT(AND($FA$4=3,$FA$5=0))))</formula>
    </cfRule>
  </conditionalFormatting>
  <conditionalFormatting sqref="FE4:FE5">
    <cfRule type="cellIs" dxfId="2048" priority="21291" stopIfTrue="1" operator="equal">
      <formula>2</formula>
    </cfRule>
  </conditionalFormatting>
  <conditionalFormatting sqref="FE4">
    <cfRule type="expression" dxfId="2047" priority="21290" stopIfTrue="1">
      <formula>$FE$5=2</formula>
    </cfRule>
  </conditionalFormatting>
  <conditionalFormatting sqref="FE5">
    <cfRule type="expression" dxfId="2046" priority="21289" stopIfTrue="1">
      <formula>$FE$4=2</formula>
    </cfRule>
  </conditionalFormatting>
  <conditionalFormatting sqref="FE4:FE5">
    <cfRule type="expression" dxfId="2045" priority="21284" stopIfTrue="1">
      <formula>NOT(AND(SUM($FE$4:$FE$5) &lt;= 3,AND(NOT($FE$4&lt;0),NOT($FE$5&lt;0)),NOT(AND($FE$4=0,$FE$5=3)),NOT(AND($FE$4=3,$FE$5=0))))</formula>
    </cfRule>
  </conditionalFormatting>
  <conditionalFormatting sqref="FI4:FI5">
    <cfRule type="cellIs" dxfId="2044" priority="21287" stopIfTrue="1" operator="equal">
      <formula>2</formula>
    </cfRule>
  </conditionalFormatting>
  <conditionalFormatting sqref="FI4">
    <cfRule type="expression" dxfId="2043" priority="21286" stopIfTrue="1">
      <formula>$FI$5=2</formula>
    </cfRule>
  </conditionalFormatting>
  <conditionalFormatting sqref="FI5">
    <cfRule type="expression" dxfId="2042" priority="21285" stopIfTrue="1">
      <formula>$FI$4=2</formula>
    </cfRule>
  </conditionalFormatting>
  <conditionalFormatting sqref="FI4:FI5">
    <cfRule type="expression" dxfId="2041" priority="21280" stopIfTrue="1">
      <formula>NOT(AND(SUM($FI$4:$FI$5) &lt;= 3,AND(NOT($FI$4&lt;0),NOT($FI$5&lt;0)),NOT(AND($FI$4=0,$FI$5=3)),NOT(AND($FI$4=3,$FI$5=0))))</formula>
    </cfRule>
  </conditionalFormatting>
  <conditionalFormatting sqref="FM4:FM5">
    <cfRule type="cellIs" dxfId="2040" priority="21283" stopIfTrue="1" operator="equal">
      <formula>2</formula>
    </cfRule>
  </conditionalFormatting>
  <conditionalFormatting sqref="FM4">
    <cfRule type="expression" dxfId="2039" priority="21282" stopIfTrue="1">
      <formula>$FM$5=2</formula>
    </cfRule>
  </conditionalFormatting>
  <conditionalFormatting sqref="FM5">
    <cfRule type="expression" dxfId="2038" priority="21281" stopIfTrue="1">
      <formula>$FM$4=2</formula>
    </cfRule>
  </conditionalFormatting>
  <conditionalFormatting sqref="FM4:FM5">
    <cfRule type="expression" dxfId="2037" priority="21276" stopIfTrue="1">
      <formula>NOT(AND(SUM($FM$4:$FM$5) &lt;= 3,AND(NOT($FM$4&lt;0),NOT($FM$5&lt;0)),NOT(AND($FM$4=0,$FM$5=3)),NOT(AND($FM$4=3,$FM$5=0))))</formula>
    </cfRule>
  </conditionalFormatting>
  <conditionalFormatting sqref="DY8:DY9">
    <cfRule type="cellIs" dxfId="2036" priority="21243" stopIfTrue="1" operator="equal">
      <formula>2</formula>
    </cfRule>
  </conditionalFormatting>
  <conditionalFormatting sqref="DY8">
    <cfRule type="expression" dxfId="2035" priority="21242" stopIfTrue="1">
      <formula>$DY$9=2</formula>
    </cfRule>
  </conditionalFormatting>
  <conditionalFormatting sqref="DY9">
    <cfRule type="expression" dxfId="2034" priority="21241" stopIfTrue="1">
      <formula>$DY$8=2</formula>
    </cfRule>
  </conditionalFormatting>
  <conditionalFormatting sqref="DY8:DY9">
    <cfRule type="expression" dxfId="2033" priority="21236" stopIfTrue="1">
      <formula>NOT(AND(SUM($DY$8:$DY$9) &lt;= 3,AND(NOT($DY$8&lt;0),NOT($DY$9&lt;0)),NOT(AND($DY$8=0,$DY$9=3)),NOT(AND($DY$8=3,$DY$9=0))))</formula>
    </cfRule>
  </conditionalFormatting>
  <conditionalFormatting sqref="EC8:EC9">
    <cfRule type="cellIs" dxfId="2032" priority="21239" stopIfTrue="1" operator="equal">
      <formula>2</formula>
    </cfRule>
  </conditionalFormatting>
  <conditionalFormatting sqref="EC8">
    <cfRule type="expression" dxfId="2031" priority="21238" stopIfTrue="1">
      <formula>$EC$9=2</formula>
    </cfRule>
  </conditionalFormatting>
  <conditionalFormatting sqref="EC9">
    <cfRule type="expression" dxfId="2030" priority="21237" stopIfTrue="1">
      <formula>$EC$8=2</formula>
    </cfRule>
  </conditionalFormatting>
  <conditionalFormatting sqref="EC8:EC9">
    <cfRule type="expression" dxfId="2029" priority="21232" stopIfTrue="1">
      <formula>NOT(AND(SUM($EC$8:$EC$9) &lt;= 3,AND(NOT($EC$8&lt;0),NOT($EC$9&lt;0)),NOT(AND($EC$8=0,$EC$9=3)),NOT(AND($EC$8=3,$EC$9=0))))</formula>
    </cfRule>
  </conditionalFormatting>
  <conditionalFormatting sqref="EG8:EG9">
    <cfRule type="cellIs" dxfId="2028" priority="21235" stopIfTrue="1" operator="equal">
      <formula>2</formula>
    </cfRule>
  </conditionalFormatting>
  <conditionalFormatting sqref="EG8">
    <cfRule type="expression" dxfId="2027" priority="21234" stopIfTrue="1">
      <formula>$EG$9=2</formula>
    </cfRule>
  </conditionalFormatting>
  <conditionalFormatting sqref="EG9">
    <cfRule type="expression" dxfId="2026" priority="21233" stopIfTrue="1">
      <formula>$EG$8=2</formula>
    </cfRule>
  </conditionalFormatting>
  <conditionalFormatting sqref="EG8:EG9">
    <cfRule type="expression" dxfId="2025" priority="21228" stopIfTrue="1">
      <formula>NOT(AND(SUM($EG$8:$EG$9) &lt;= 3,AND(NOT($EG$8&lt;0),NOT($EG$9&lt;0)),NOT(AND($EG$8=0,$EG$9=3)),NOT(AND($EG$8=3,$EG$9=0))))</formula>
    </cfRule>
  </conditionalFormatting>
  <conditionalFormatting sqref="EK8:EK9">
    <cfRule type="cellIs" dxfId="2024" priority="21231" stopIfTrue="1" operator="equal">
      <formula>2</formula>
    </cfRule>
  </conditionalFormatting>
  <conditionalFormatting sqref="EK8">
    <cfRule type="expression" dxfId="2023" priority="21230" stopIfTrue="1">
      <formula>$EK$9=2</formula>
    </cfRule>
  </conditionalFormatting>
  <conditionalFormatting sqref="EK9">
    <cfRule type="expression" dxfId="2022" priority="21229" stopIfTrue="1">
      <formula>$EK$8=2</formula>
    </cfRule>
  </conditionalFormatting>
  <conditionalFormatting sqref="EK8:EK9">
    <cfRule type="expression" dxfId="2021" priority="21224" stopIfTrue="1">
      <formula>NOT(AND(SUM($EK$8:$EK$9) &lt;= 3,AND(NOT($EK$8&lt;0),NOT($EK$9&lt;0)),NOT(AND($EK$8=0,$EK$9=3)),NOT(AND($EK$8=3,$EK$9=0))))</formula>
    </cfRule>
  </conditionalFormatting>
  <conditionalFormatting sqref="EO8:EO9">
    <cfRule type="cellIs" dxfId="2020" priority="21227" stopIfTrue="1" operator="equal">
      <formula>2</formula>
    </cfRule>
  </conditionalFormatting>
  <conditionalFormatting sqref="EO8">
    <cfRule type="expression" dxfId="2019" priority="21226" stopIfTrue="1">
      <formula>$EO$9=2</formula>
    </cfRule>
  </conditionalFormatting>
  <conditionalFormatting sqref="EO9">
    <cfRule type="expression" dxfId="2018" priority="21225" stopIfTrue="1">
      <formula>$EO$8=2</formula>
    </cfRule>
  </conditionalFormatting>
  <conditionalFormatting sqref="EO8:EO9">
    <cfRule type="expression" dxfId="2017" priority="21220" stopIfTrue="1">
      <formula>NOT(AND(SUM($EO$8:$EO$9) &lt;= 3,AND(NOT($EO$8&lt;0),NOT($EO$9&lt;0)),NOT(AND($EO$8=0,$EO$9=3)),NOT(AND($EO$8=3,$EO$9=0))))</formula>
    </cfRule>
  </conditionalFormatting>
  <conditionalFormatting sqref="ES8:ES9">
    <cfRule type="cellIs" dxfId="2016" priority="21223" stopIfTrue="1" operator="equal">
      <formula>2</formula>
    </cfRule>
  </conditionalFormatting>
  <conditionalFormatting sqref="ES8">
    <cfRule type="expression" dxfId="2015" priority="21222" stopIfTrue="1">
      <formula>$ES$9=2</formula>
    </cfRule>
  </conditionalFormatting>
  <conditionalFormatting sqref="ES9">
    <cfRule type="expression" dxfId="2014" priority="21221" stopIfTrue="1">
      <formula>$ES$8=2</formula>
    </cfRule>
  </conditionalFormatting>
  <conditionalFormatting sqref="ES8:ES9">
    <cfRule type="expression" dxfId="2013" priority="21216" stopIfTrue="1">
      <formula>NOT(AND(SUM($ES$8:$ES$9) &lt;= 3,AND(NOT($ES$8&lt;0),NOT($ES$9&lt;0)),NOT(AND($ES$8=0,$ES$9=3)),NOT(AND($ES$8=3,$ES$9=0))))</formula>
    </cfRule>
  </conditionalFormatting>
  <conditionalFormatting sqref="EW8:EW9">
    <cfRule type="cellIs" dxfId="2012" priority="21219" stopIfTrue="1" operator="equal">
      <formula>2</formula>
    </cfRule>
  </conditionalFormatting>
  <conditionalFormatting sqref="EW8">
    <cfRule type="expression" dxfId="2011" priority="21218" stopIfTrue="1">
      <formula>$EW$9=2</formula>
    </cfRule>
  </conditionalFormatting>
  <conditionalFormatting sqref="EW9">
    <cfRule type="expression" dxfId="2010" priority="21217" stopIfTrue="1">
      <formula>$EW$8=2</formula>
    </cfRule>
  </conditionalFormatting>
  <conditionalFormatting sqref="EW8:EW9">
    <cfRule type="expression" dxfId="2009" priority="21212" stopIfTrue="1">
      <formula>NOT(AND(SUM($EW$8:$EW$9) &lt;= 3,AND(NOT($EW$8&lt;0),NOT($EW$9&lt;0)),NOT(AND($EW$8=0,$EW$9=3)),NOT(AND($EW$8=3,$EW$9=0))))</formula>
    </cfRule>
  </conditionalFormatting>
  <conditionalFormatting sqref="FA8:FA9">
    <cfRule type="cellIs" dxfId="2008" priority="21215" stopIfTrue="1" operator="equal">
      <formula>2</formula>
    </cfRule>
  </conditionalFormatting>
  <conditionalFormatting sqref="FA8">
    <cfRule type="expression" dxfId="2007" priority="21214" stopIfTrue="1">
      <formula>$FA$9=2</formula>
    </cfRule>
  </conditionalFormatting>
  <conditionalFormatting sqref="FA9">
    <cfRule type="expression" dxfId="2006" priority="21213" stopIfTrue="1">
      <formula>$FA$8=2</formula>
    </cfRule>
  </conditionalFormatting>
  <conditionalFormatting sqref="FA8:FA9">
    <cfRule type="expression" dxfId="2005" priority="21208" stopIfTrue="1">
      <formula>NOT(AND(SUM($FA$8:$FA$9) &lt;= 3,AND(NOT($FA$8&lt;0),NOT($FA$9&lt;0)),NOT(AND($FA$8=0,$FA$9=3)),NOT(AND($FA$8=3,$FA$9=0))))</formula>
    </cfRule>
  </conditionalFormatting>
  <conditionalFormatting sqref="FE8:FE9">
    <cfRule type="cellIs" dxfId="2004" priority="21211" stopIfTrue="1" operator="equal">
      <formula>2</formula>
    </cfRule>
  </conditionalFormatting>
  <conditionalFormatting sqref="FE8">
    <cfRule type="expression" dxfId="2003" priority="21210" stopIfTrue="1">
      <formula>$FE$9=2</formula>
    </cfRule>
  </conditionalFormatting>
  <conditionalFormatting sqref="FE9">
    <cfRule type="expression" dxfId="2002" priority="21209" stopIfTrue="1">
      <formula>$FE$8=2</formula>
    </cfRule>
  </conditionalFormatting>
  <conditionalFormatting sqref="FE8:FE9">
    <cfRule type="expression" dxfId="2001" priority="21204" stopIfTrue="1">
      <formula>NOT(AND(SUM($FE$8:$FE$9) &lt;= 3,AND(NOT($FE$8&lt;0),NOT($FE$9&lt;0)),NOT(AND($FE$8=0,$FE$9=3)),NOT(AND($FE$8=3,$FE$9=0))))</formula>
    </cfRule>
  </conditionalFormatting>
  <conditionalFormatting sqref="FI8:FI9">
    <cfRule type="cellIs" dxfId="2000" priority="21207" stopIfTrue="1" operator="equal">
      <formula>2</formula>
    </cfRule>
  </conditionalFormatting>
  <conditionalFormatting sqref="FI8">
    <cfRule type="expression" dxfId="1999" priority="21206" stopIfTrue="1">
      <formula>$FI$9=2</formula>
    </cfRule>
  </conditionalFormatting>
  <conditionalFormatting sqref="FI9">
    <cfRule type="expression" dxfId="1998" priority="21205" stopIfTrue="1">
      <formula>$FI$8=2</formula>
    </cfRule>
  </conditionalFormatting>
  <conditionalFormatting sqref="FI8:FI9">
    <cfRule type="expression" dxfId="1997" priority="21200" stopIfTrue="1">
      <formula>NOT(AND(SUM($FI$8:$FI$9) &lt;= 3,AND(NOT($FI$8&lt;0),NOT($FI$9&lt;0)),NOT(AND($FI$8=0,$FI$9=3)),NOT(AND($FI$8=3,$FI$9=0))))</formula>
    </cfRule>
  </conditionalFormatting>
  <conditionalFormatting sqref="FM8:FM9">
    <cfRule type="cellIs" dxfId="1996" priority="21203" stopIfTrue="1" operator="equal">
      <formula>2</formula>
    </cfRule>
  </conditionalFormatting>
  <conditionalFormatting sqref="FM8">
    <cfRule type="expression" dxfId="1995" priority="21202" stopIfTrue="1">
      <formula>$FM$9=2</formula>
    </cfRule>
  </conditionalFormatting>
  <conditionalFormatting sqref="FM9">
    <cfRule type="expression" dxfId="1994" priority="21201" stopIfTrue="1">
      <formula>$FM$8=2</formula>
    </cfRule>
  </conditionalFormatting>
  <conditionalFormatting sqref="FM8:FM9">
    <cfRule type="expression" dxfId="1993" priority="21196" stopIfTrue="1">
      <formula>NOT(AND(SUM($FM$8:$FM$9) &lt;= 3,AND(NOT($FM$8&lt;0),NOT($FM$9&lt;0)),NOT(AND($FM$8=0,$FM$9=3)),NOT(AND($FM$8=3,$FM$9=0))))</formula>
    </cfRule>
  </conditionalFormatting>
  <conditionalFormatting sqref="DY12:DY13">
    <cfRule type="cellIs" dxfId="1992" priority="21163" stopIfTrue="1" operator="equal">
      <formula>2</formula>
    </cfRule>
  </conditionalFormatting>
  <conditionalFormatting sqref="DY12">
    <cfRule type="expression" dxfId="1991" priority="21162" stopIfTrue="1">
      <formula>$DY$13=2</formula>
    </cfRule>
  </conditionalFormatting>
  <conditionalFormatting sqref="DY13">
    <cfRule type="expression" dxfId="1990" priority="21161" stopIfTrue="1">
      <formula>$DY$12=2</formula>
    </cfRule>
  </conditionalFormatting>
  <conditionalFormatting sqref="DY12:DY13">
    <cfRule type="expression" dxfId="1989" priority="21156" stopIfTrue="1">
      <formula>NOT(AND(SUM($DY$12:$DY$13) &lt;= 3,AND(NOT($DY$12&lt;0),NOT($DY$13&lt;0)),NOT(AND($DY$12=0,$DY$13=3)),NOT(AND($DY$12=3,$DY$13=0))))</formula>
    </cfRule>
  </conditionalFormatting>
  <conditionalFormatting sqref="EC12:EC13">
    <cfRule type="cellIs" dxfId="1988" priority="21159" stopIfTrue="1" operator="equal">
      <formula>2</formula>
    </cfRule>
  </conditionalFormatting>
  <conditionalFormatting sqref="EC12">
    <cfRule type="expression" dxfId="1987" priority="21158" stopIfTrue="1">
      <formula>$EC$13=2</formula>
    </cfRule>
  </conditionalFormatting>
  <conditionalFormatting sqref="EC13">
    <cfRule type="expression" dxfId="1986" priority="21157" stopIfTrue="1">
      <formula>$EC$12=2</formula>
    </cfRule>
  </conditionalFormatting>
  <conditionalFormatting sqref="EC12:EC13">
    <cfRule type="expression" dxfId="1985" priority="21152" stopIfTrue="1">
      <formula>NOT(AND(SUM($EC$12:$EC$13) &lt;= 3,AND(NOT($EC$12&lt;0),NOT($EC$13&lt;0)),NOT(AND($EC$12=0,$EC$13=3)),NOT(AND($EC$12=3,$EC$13=0))))</formula>
    </cfRule>
  </conditionalFormatting>
  <conditionalFormatting sqref="EG12:EG13">
    <cfRule type="cellIs" dxfId="1984" priority="21155" stopIfTrue="1" operator="equal">
      <formula>2</formula>
    </cfRule>
  </conditionalFormatting>
  <conditionalFormatting sqref="EG12">
    <cfRule type="expression" dxfId="1983" priority="21154" stopIfTrue="1">
      <formula>$EG$13=2</formula>
    </cfRule>
  </conditionalFormatting>
  <conditionalFormatting sqref="EG13">
    <cfRule type="expression" dxfId="1982" priority="21153" stopIfTrue="1">
      <formula>$EG$12=2</formula>
    </cfRule>
  </conditionalFormatting>
  <conditionalFormatting sqref="EG12:EG13">
    <cfRule type="expression" dxfId="1981" priority="21148" stopIfTrue="1">
      <formula>NOT(AND(SUM($EG$12:$EG$13) &lt;= 3,AND(NOT($EG$12&lt;0),NOT($EG$13&lt;0)),NOT(AND($EG$12=0,$EG$13=3)),NOT(AND($EG$12=3,$EG$13=0))))</formula>
    </cfRule>
  </conditionalFormatting>
  <conditionalFormatting sqref="EK12:EK13">
    <cfRule type="cellIs" dxfId="1980" priority="21151" stopIfTrue="1" operator="equal">
      <formula>2</formula>
    </cfRule>
  </conditionalFormatting>
  <conditionalFormatting sqref="EK12">
    <cfRule type="expression" dxfId="1979" priority="21150" stopIfTrue="1">
      <formula>$EK$13=2</formula>
    </cfRule>
  </conditionalFormatting>
  <conditionalFormatting sqref="EK13">
    <cfRule type="expression" dxfId="1978" priority="21149" stopIfTrue="1">
      <formula>$EK$12=2</formula>
    </cfRule>
  </conditionalFormatting>
  <conditionalFormatting sqref="EK12:EK13">
    <cfRule type="expression" dxfId="1977" priority="21144" stopIfTrue="1">
      <formula>NOT(AND(SUM($EK$12:$EK$13) &lt;= 3,AND(NOT($EK$12&lt;0),NOT($EK$13&lt;0)),NOT(AND($EK$12=0,$EK$13=3)),NOT(AND($EK$12=3,$EK$13=0))))</formula>
    </cfRule>
  </conditionalFormatting>
  <conditionalFormatting sqref="EO12:EO13">
    <cfRule type="cellIs" dxfId="1976" priority="21147" stopIfTrue="1" operator="equal">
      <formula>2</formula>
    </cfRule>
  </conditionalFormatting>
  <conditionalFormatting sqref="EO12">
    <cfRule type="expression" dxfId="1975" priority="21146" stopIfTrue="1">
      <formula>$EO$13=2</formula>
    </cfRule>
  </conditionalFormatting>
  <conditionalFormatting sqref="EO13">
    <cfRule type="expression" dxfId="1974" priority="21145" stopIfTrue="1">
      <formula>$EO$12=2</formula>
    </cfRule>
  </conditionalFormatting>
  <conditionalFormatting sqref="EO12:EO13">
    <cfRule type="expression" dxfId="1973" priority="21140" stopIfTrue="1">
      <formula>NOT(AND(SUM($EO$12:$EO$13) &lt;= 3,AND(NOT($EO$12&lt;0),NOT($EO$13&lt;0)),NOT(AND($EO$12=0,$EO$13=3)),NOT(AND($EO$12=3,$EO$13=0))))</formula>
    </cfRule>
  </conditionalFormatting>
  <conditionalFormatting sqref="ES12:ES13">
    <cfRule type="cellIs" dxfId="1972" priority="21143" stopIfTrue="1" operator="equal">
      <formula>2</formula>
    </cfRule>
  </conditionalFormatting>
  <conditionalFormatting sqref="ES12">
    <cfRule type="expression" dxfId="1971" priority="21142" stopIfTrue="1">
      <formula>$ES$13=2</formula>
    </cfRule>
  </conditionalFormatting>
  <conditionalFormatting sqref="ES13">
    <cfRule type="expression" dxfId="1970" priority="21141" stopIfTrue="1">
      <formula>$ES$12=2</formula>
    </cfRule>
  </conditionalFormatting>
  <conditionalFormatting sqref="ES12:ES13">
    <cfRule type="expression" dxfId="1969" priority="21136" stopIfTrue="1">
      <formula>NOT(AND(SUM($ES$12:$ES$13) &lt;= 3,AND(NOT($ES$12&lt;0),NOT($ES$13&lt;0)),NOT(AND($ES$12=0,$ES$13=3)),NOT(AND($ES$12=3,$ES$13=0))))</formula>
    </cfRule>
  </conditionalFormatting>
  <conditionalFormatting sqref="EW12:EW13">
    <cfRule type="cellIs" dxfId="1968" priority="21139" stopIfTrue="1" operator="equal">
      <formula>2</formula>
    </cfRule>
  </conditionalFormatting>
  <conditionalFormatting sqref="EW12">
    <cfRule type="expression" dxfId="1967" priority="21138" stopIfTrue="1">
      <formula>$EW$13=2</formula>
    </cfRule>
  </conditionalFormatting>
  <conditionalFormatting sqref="EW13">
    <cfRule type="expression" dxfId="1966" priority="21137" stopIfTrue="1">
      <formula>$EW$12=2</formula>
    </cfRule>
  </conditionalFormatting>
  <conditionalFormatting sqref="EW12:EW13">
    <cfRule type="expression" dxfId="1965" priority="21132" stopIfTrue="1">
      <formula>NOT(AND(SUM($EW$12:$EW$13) &lt;= 3,AND(NOT($EW$12&lt;0),NOT($EW$13&lt;0)),NOT(AND($EW$12=0,$EW$13=3)),NOT(AND($EW$12=3,$EW$13=0))))</formula>
    </cfRule>
  </conditionalFormatting>
  <conditionalFormatting sqref="FA12:FA13">
    <cfRule type="cellIs" dxfId="1964" priority="21135" stopIfTrue="1" operator="equal">
      <formula>2</formula>
    </cfRule>
  </conditionalFormatting>
  <conditionalFormatting sqref="FA12">
    <cfRule type="expression" dxfId="1963" priority="21134" stopIfTrue="1">
      <formula>$FA$13=2</formula>
    </cfRule>
  </conditionalFormatting>
  <conditionalFormatting sqref="FA13">
    <cfRule type="expression" dxfId="1962" priority="21133" stopIfTrue="1">
      <formula>$FA$12=2</formula>
    </cfRule>
  </conditionalFormatting>
  <conditionalFormatting sqref="FA12:FA13">
    <cfRule type="expression" dxfId="1961" priority="21128" stopIfTrue="1">
      <formula>NOT(AND(SUM($FA$12:$FA$13) &lt;= 3,AND(NOT($FA$12&lt;0),NOT($FA$13&lt;0)),NOT(AND($FA$12=0,$FA$13=3)),NOT(AND($FA$12=3,$FA$13=0))))</formula>
    </cfRule>
  </conditionalFormatting>
  <conditionalFormatting sqref="FE12:FE13">
    <cfRule type="cellIs" dxfId="1960" priority="21131" stopIfTrue="1" operator="equal">
      <formula>2</formula>
    </cfRule>
  </conditionalFormatting>
  <conditionalFormatting sqref="FE12">
    <cfRule type="expression" dxfId="1959" priority="21130" stopIfTrue="1">
      <formula>$FE$13=2</formula>
    </cfRule>
  </conditionalFormatting>
  <conditionalFormatting sqref="FE13">
    <cfRule type="expression" dxfId="1958" priority="21129" stopIfTrue="1">
      <formula>$FE$12=2</formula>
    </cfRule>
  </conditionalFormatting>
  <conditionalFormatting sqref="FE12:FE13">
    <cfRule type="expression" dxfId="1957" priority="21124" stopIfTrue="1">
      <formula>NOT(AND(SUM($FE$12:$FE$13) &lt;= 3,AND(NOT($FE$12&lt;0),NOT($FE$13&lt;0)),NOT(AND($FE$12=0,$FE$13=3)),NOT(AND($FE$12=3,$FE$13=0))))</formula>
    </cfRule>
  </conditionalFormatting>
  <conditionalFormatting sqref="FI12:FI13">
    <cfRule type="cellIs" dxfId="1956" priority="21127" stopIfTrue="1" operator="equal">
      <formula>2</formula>
    </cfRule>
  </conditionalFormatting>
  <conditionalFormatting sqref="FI12">
    <cfRule type="expression" dxfId="1955" priority="21126" stopIfTrue="1">
      <formula>$FI$13=2</formula>
    </cfRule>
  </conditionalFormatting>
  <conditionalFormatting sqref="FI13">
    <cfRule type="expression" dxfId="1954" priority="21125" stopIfTrue="1">
      <formula>$FI$12=2</formula>
    </cfRule>
  </conditionalFormatting>
  <conditionalFormatting sqref="FI12:FI13">
    <cfRule type="expression" dxfId="1953" priority="21120" stopIfTrue="1">
      <formula>NOT(AND(SUM($FI$12:$FI$13) &lt;= 3,AND(NOT($FI$12&lt;0),NOT($FI$13&lt;0)),NOT(AND($FI$12=0,$FI$13=3)),NOT(AND($FI$12=3,$FI$13=0))))</formula>
    </cfRule>
  </conditionalFormatting>
  <conditionalFormatting sqref="FM12:FM13">
    <cfRule type="cellIs" dxfId="1952" priority="21123" stopIfTrue="1" operator="equal">
      <formula>2</formula>
    </cfRule>
  </conditionalFormatting>
  <conditionalFormatting sqref="FM12">
    <cfRule type="expression" dxfId="1951" priority="21122" stopIfTrue="1">
      <formula>$FM$13=2</formula>
    </cfRule>
  </conditionalFormatting>
  <conditionalFormatting sqref="FM13">
    <cfRule type="expression" dxfId="1950" priority="21121" stopIfTrue="1">
      <formula>$FM$12=2</formula>
    </cfRule>
  </conditionalFormatting>
  <conditionalFormatting sqref="FM12:FM13">
    <cfRule type="expression" dxfId="1949" priority="21116" stopIfTrue="1">
      <formula>NOT(AND(SUM($FM$12:$FM$13) &lt;= 3,AND(NOT($FM$12&lt;0),NOT($FM$13&lt;0)),NOT(AND($FM$12=0,$FM$13=3)),NOT(AND($FM$12=3,$FM$13=0))))</formula>
    </cfRule>
  </conditionalFormatting>
  <conditionalFormatting sqref="DY16:DY17">
    <cfRule type="cellIs" dxfId="1948" priority="21083" stopIfTrue="1" operator="equal">
      <formula>2</formula>
    </cfRule>
  </conditionalFormatting>
  <conditionalFormatting sqref="DY16">
    <cfRule type="expression" dxfId="1947" priority="21082" stopIfTrue="1">
      <formula>$DY$17=2</formula>
    </cfRule>
  </conditionalFormatting>
  <conditionalFormatting sqref="DY17">
    <cfRule type="expression" dxfId="1946" priority="21081" stopIfTrue="1">
      <formula>$DY$16=2</formula>
    </cfRule>
  </conditionalFormatting>
  <conditionalFormatting sqref="DY16:DY17">
    <cfRule type="expression" dxfId="1945" priority="21076" stopIfTrue="1">
      <formula>NOT(AND(SUM($DY$16:$DY$17) &lt;= 3,AND(NOT($DY$16&lt;0),NOT($DY$17&lt;0)),NOT(AND($DY$16=0,$DY$17=3)),NOT(AND($DY$16=3,$DY$17=0))))</formula>
    </cfRule>
  </conditionalFormatting>
  <conditionalFormatting sqref="EC16:EC17">
    <cfRule type="cellIs" dxfId="1944" priority="21079" stopIfTrue="1" operator="equal">
      <formula>2</formula>
    </cfRule>
  </conditionalFormatting>
  <conditionalFormatting sqref="EC16">
    <cfRule type="expression" dxfId="1943" priority="21078" stopIfTrue="1">
      <formula>$EC$17=2</formula>
    </cfRule>
  </conditionalFormatting>
  <conditionalFormatting sqref="EC17">
    <cfRule type="expression" dxfId="1942" priority="21077" stopIfTrue="1">
      <formula>$EC$16=2</formula>
    </cfRule>
  </conditionalFormatting>
  <conditionalFormatting sqref="EC16:EC17">
    <cfRule type="expression" dxfId="1941" priority="21072" stopIfTrue="1">
      <formula>NOT(AND(SUM($EC$16:$EC$17) &lt;= 3,AND(NOT($EC$16&lt;0),NOT($EC$17&lt;0)),NOT(AND($EC$16=0,$EC$17=3)),NOT(AND($EC$16=3,$EC$17=0))))</formula>
    </cfRule>
  </conditionalFormatting>
  <conditionalFormatting sqref="EG16:EG17">
    <cfRule type="cellIs" dxfId="1940" priority="21075" stopIfTrue="1" operator="equal">
      <formula>2</formula>
    </cfRule>
  </conditionalFormatting>
  <conditionalFormatting sqref="EG16">
    <cfRule type="expression" dxfId="1939" priority="21074" stopIfTrue="1">
      <formula>$EG$17=2</formula>
    </cfRule>
  </conditionalFormatting>
  <conditionalFormatting sqref="EG17">
    <cfRule type="expression" dxfId="1938" priority="21073" stopIfTrue="1">
      <formula>$EG$16=2</formula>
    </cfRule>
  </conditionalFormatting>
  <conditionalFormatting sqref="EG16:EG17">
    <cfRule type="expression" dxfId="1937" priority="21068" stopIfTrue="1">
      <formula>NOT(AND(SUM($EG$16:$EG$17) &lt;= 3,AND(NOT($EG$16&lt;0),NOT($EG$17&lt;0)),NOT(AND($EG$16=0,$EG$17=3)),NOT(AND($EG$16=3,$EG$17=0))))</formula>
    </cfRule>
  </conditionalFormatting>
  <conditionalFormatting sqref="EK16:EK17">
    <cfRule type="cellIs" dxfId="1936" priority="21071" stopIfTrue="1" operator="equal">
      <formula>2</formula>
    </cfRule>
  </conditionalFormatting>
  <conditionalFormatting sqref="EK16">
    <cfRule type="expression" dxfId="1935" priority="21070" stopIfTrue="1">
      <formula>$EK$17=2</formula>
    </cfRule>
  </conditionalFormatting>
  <conditionalFormatting sqref="EK17">
    <cfRule type="expression" dxfId="1934" priority="21069" stopIfTrue="1">
      <formula>$EK$16=2</formula>
    </cfRule>
  </conditionalFormatting>
  <conditionalFormatting sqref="EK16:EK17">
    <cfRule type="expression" dxfId="1933" priority="21064" stopIfTrue="1">
      <formula>NOT(AND(SUM($EK$16:$EK$17) &lt;= 3,AND(NOT($EK$16&lt;0),NOT($EK$17&lt;0)),NOT(AND($EK$16=0,$EK$17=3)),NOT(AND($EK$16=3,$EK$17=0))))</formula>
    </cfRule>
  </conditionalFormatting>
  <conditionalFormatting sqref="EO16:EO17">
    <cfRule type="cellIs" dxfId="1932" priority="21067" stopIfTrue="1" operator="equal">
      <formula>2</formula>
    </cfRule>
  </conditionalFormatting>
  <conditionalFormatting sqref="EO16">
    <cfRule type="expression" dxfId="1931" priority="21066" stopIfTrue="1">
      <formula>$EO$17=2</formula>
    </cfRule>
  </conditionalFormatting>
  <conditionalFormatting sqref="EO17">
    <cfRule type="expression" dxfId="1930" priority="21065" stopIfTrue="1">
      <formula>$EO$16=2</formula>
    </cfRule>
  </conditionalFormatting>
  <conditionalFormatting sqref="EO16:EO17">
    <cfRule type="expression" dxfId="1929" priority="21060" stopIfTrue="1">
      <formula>NOT(AND(SUM($EO$16:$EO$17) &lt;= 3,AND(NOT($EO$16&lt;0),NOT($EO$17&lt;0)),NOT(AND($EO$16=0,$EO$17=3)),NOT(AND($EO$16=3,$EO$17=0))))</formula>
    </cfRule>
  </conditionalFormatting>
  <conditionalFormatting sqref="ES16:ES17">
    <cfRule type="cellIs" dxfId="1928" priority="21063" stopIfTrue="1" operator="equal">
      <formula>2</formula>
    </cfRule>
  </conditionalFormatting>
  <conditionalFormatting sqref="ES16">
    <cfRule type="expression" dxfId="1927" priority="21062" stopIfTrue="1">
      <formula>$ES$17=2</formula>
    </cfRule>
  </conditionalFormatting>
  <conditionalFormatting sqref="ES17">
    <cfRule type="expression" dxfId="1926" priority="21061" stopIfTrue="1">
      <formula>$ES$16=2</formula>
    </cfRule>
  </conditionalFormatting>
  <conditionalFormatting sqref="ES16:ES17">
    <cfRule type="expression" dxfId="1925" priority="21056" stopIfTrue="1">
      <formula>NOT(AND(SUM($ES$16:$ES$17) &lt;= 3,AND(NOT($ES$16&lt;0),NOT($ES$17&lt;0)),NOT(AND($ES$16=0,$ES$17=3)),NOT(AND($ES$16=3,$ES$17=0))))</formula>
    </cfRule>
  </conditionalFormatting>
  <conditionalFormatting sqref="EW16:EW17">
    <cfRule type="cellIs" dxfId="1924" priority="21059" stopIfTrue="1" operator="equal">
      <formula>2</formula>
    </cfRule>
  </conditionalFormatting>
  <conditionalFormatting sqref="EW16">
    <cfRule type="expression" dxfId="1923" priority="21058" stopIfTrue="1">
      <formula>$EW$17=2</formula>
    </cfRule>
  </conditionalFormatting>
  <conditionalFormatting sqref="EW17">
    <cfRule type="expression" dxfId="1922" priority="21057" stopIfTrue="1">
      <formula>$EW$16=2</formula>
    </cfRule>
  </conditionalFormatting>
  <conditionalFormatting sqref="EW16:EW17">
    <cfRule type="expression" dxfId="1921" priority="21052" stopIfTrue="1">
      <formula>NOT(AND(SUM($EW$16:$EW$17) &lt;= 3,AND(NOT($EW$16&lt;0),NOT($EW$17&lt;0)),NOT(AND($EW$16=0,$EW$17=3)),NOT(AND($EW$16=3,$EW$17=0))))</formula>
    </cfRule>
  </conditionalFormatting>
  <conditionalFormatting sqref="FA16:FA17">
    <cfRule type="cellIs" dxfId="1920" priority="21055" stopIfTrue="1" operator="equal">
      <formula>2</formula>
    </cfRule>
  </conditionalFormatting>
  <conditionalFormatting sqref="FA16">
    <cfRule type="expression" dxfId="1919" priority="21054" stopIfTrue="1">
      <formula>$FA$17=2</formula>
    </cfRule>
  </conditionalFormatting>
  <conditionalFormatting sqref="FA17">
    <cfRule type="expression" dxfId="1918" priority="21053" stopIfTrue="1">
      <formula>$FA$16=2</formula>
    </cfRule>
  </conditionalFormatting>
  <conditionalFormatting sqref="FA16:FA17">
    <cfRule type="expression" dxfId="1917" priority="21048" stopIfTrue="1">
      <formula>NOT(AND(SUM($FA$16:$FA$17) &lt;= 3,AND(NOT($FA$16&lt;0),NOT($FA$17&lt;0)),NOT(AND($FA$16=0,$FA$17=3)),NOT(AND($FA$16=3,$FA$17=0))))</formula>
    </cfRule>
  </conditionalFormatting>
  <conditionalFormatting sqref="FE16:FE17">
    <cfRule type="cellIs" dxfId="1916" priority="21051" stopIfTrue="1" operator="equal">
      <formula>2</formula>
    </cfRule>
  </conditionalFormatting>
  <conditionalFormatting sqref="FE16">
    <cfRule type="expression" dxfId="1915" priority="21050" stopIfTrue="1">
      <formula>$FE$17=2</formula>
    </cfRule>
  </conditionalFormatting>
  <conditionalFormatting sqref="FE17">
    <cfRule type="expression" dxfId="1914" priority="21049" stopIfTrue="1">
      <formula>$FE$16=2</formula>
    </cfRule>
  </conditionalFormatting>
  <conditionalFormatting sqref="FE16:FE17">
    <cfRule type="expression" dxfId="1913" priority="21044" stopIfTrue="1">
      <formula>NOT(AND(SUM($FE$16:$FE$17) &lt;= 3,AND(NOT($FE$16&lt;0),NOT($FE$17&lt;0)),NOT(AND($FE$16=0,$FE$17=3)),NOT(AND($FE$16=3,$FE$17=0))))</formula>
    </cfRule>
  </conditionalFormatting>
  <conditionalFormatting sqref="FI16:FI17">
    <cfRule type="cellIs" dxfId="1912" priority="21047" stopIfTrue="1" operator="equal">
      <formula>2</formula>
    </cfRule>
  </conditionalFormatting>
  <conditionalFormatting sqref="FI16">
    <cfRule type="expression" dxfId="1911" priority="21046" stopIfTrue="1">
      <formula>$FI$17=2</formula>
    </cfRule>
  </conditionalFormatting>
  <conditionalFormatting sqref="FI17">
    <cfRule type="expression" dxfId="1910" priority="21045" stopIfTrue="1">
      <formula>$FI$16=2</formula>
    </cfRule>
  </conditionalFormatting>
  <conditionalFormatting sqref="FI16:FI17">
    <cfRule type="expression" dxfId="1909" priority="21040" stopIfTrue="1">
      <formula>NOT(AND(SUM($FI$16:$FI$17) &lt;= 3,AND(NOT($FI$16&lt;0),NOT($FI$17&lt;0)),NOT(AND($FI$16=0,$FI$17=3)),NOT(AND($FI$16=3,$FI$17=0))))</formula>
    </cfRule>
  </conditionalFormatting>
  <conditionalFormatting sqref="FM16:FM17">
    <cfRule type="cellIs" dxfId="1908" priority="21043" stopIfTrue="1" operator="equal">
      <formula>2</formula>
    </cfRule>
  </conditionalFormatting>
  <conditionalFormatting sqref="FM16">
    <cfRule type="expression" dxfId="1907" priority="21042" stopIfTrue="1">
      <formula>$FM$17=2</formula>
    </cfRule>
  </conditionalFormatting>
  <conditionalFormatting sqref="FM17">
    <cfRule type="expression" dxfId="1906" priority="21041" stopIfTrue="1">
      <formula>$FM$16=2</formula>
    </cfRule>
  </conditionalFormatting>
  <conditionalFormatting sqref="FM16:FM17">
    <cfRule type="expression" dxfId="1905" priority="21036" stopIfTrue="1">
      <formula>NOT(AND(SUM($FM$16:$FM$17) &lt;= 3,AND(NOT($FM$16&lt;0),NOT($FM$17&lt;0)),NOT(AND($FM$16=0,$FM$17=3)),NOT(AND($FM$16=3,$FM$17=0))))</formula>
    </cfRule>
  </conditionalFormatting>
  <conditionalFormatting sqref="DY20:DY21">
    <cfRule type="cellIs" dxfId="1904" priority="21003" stopIfTrue="1" operator="equal">
      <formula>2</formula>
    </cfRule>
  </conditionalFormatting>
  <conditionalFormatting sqref="DY20">
    <cfRule type="expression" dxfId="1903" priority="21002" stopIfTrue="1">
      <formula>$DY$21=2</formula>
    </cfRule>
  </conditionalFormatting>
  <conditionalFormatting sqref="DY21">
    <cfRule type="expression" dxfId="1902" priority="21001" stopIfTrue="1">
      <formula>$DY$20=2</formula>
    </cfRule>
  </conditionalFormatting>
  <conditionalFormatting sqref="DY20:DY21">
    <cfRule type="expression" dxfId="1901" priority="20996" stopIfTrue="1">
      <formula>NOT(AND(SUM($DY$20:$DY$21) &lt;= 3,AND(NOT($DY$20&lt;0),NOT($DY$21&lt;0)),NOT(AND($DY$20=0,$DY$21=3)),NOT(AND($DY$20=3,$DY$21=0))))</formula>
    </cfRule>
  </conditionalFormatting>
  <conditionalFormatting sqref="EC20:EC21">
    <cfRule type="cellIs" dxfId="1900" priority="20999" stopIfTrue="1" operator="equal">
      <formula>2</formula>
    </cfRule>
  </conditionalFormatting>
  <conditionalFormatting sqref="EC20">
    <cfRule type="expression" dxfId="1899" priority="20998" stopIfTrue="1">
      <formula>$EC$21=2</formula>
    </cfRule>
  </conditionalFormatting>
  <conditionalFormatting sqref="EC21">
    <cfRule type="expression" dxfId="1898" priority="20997" stopIfTrue="1">
      <formula>$EC$20=2</formula>
    </cfRule>
  </conditionalFormatting>
  <conditionalFormatting sqref="EC20:EC21">
    <cfRule type="expression" dxfId="1897" priority="20992" stopIfTrue="1">
      <formula>NOT(AND(SUM($EC$20:$EC$21) &lt;= 3,AND(NOT($EC$20&lt;0),NOT($EC$21&lt;0)),NOT(AND($EC$20=0,$EC$21=3)),NOT(AND($EC$20=3,$EC$21=0))))</formula>
    </cfRule>
  </conditionalFormatting>
  <conditionalFormatting sqref="EG20:EG21">
    <cfRule type="cellIs" dxfId="1896" priority="20995" stopIfTrue="1" operator="equal">
      <formula>2</formula>
    </cfRule>
  </conditionalFormatting>
  <conditionalFormatting sqref="EG20">
    <cfRule type="expression" dxfId="1895" priority="20994" stopIfTrue="1">
      <formula>$EG$21=2</formula>
    </cfRule>
  </conditionalFormatting>
  <conditionalFormatting sqref="EG21">
    <cfRule type="expression" dxfId="1894" priority="20993" stopIfTrue="1">
      <formula>$EG$20=2</formula>
    </cfRule>
  </conditionalFormatting>
  <conditionalFormatting sqref="EG20:EG21">
    <cfRule type="expression" dxfId="1893" priority="20988" stopIfTrue="1">
      <formula>NOT(AND(SUM($EG$20:$EG$21) &lt;= 3,AND(NOT($EG$20&lt;0),NOT($EG$21&lt;0)),NOT(AND($EG$20=0,$EG$21=3)),NOT(AND($EG$20=3,$EG$21=0))))</formula>
    </cfRule>
  </conditionalFormatting>
  <conditionalFormatting sqref="EK20:EK21">
    <cfRule type="cellIs" dxfId="1892" priority="20991" stopIfTrue="1" operator="equal">
      <formula>2</formula>
    </cfRule>
  </conditionalFormatting>
  <conditionalFormatting sqref="EK20">
    <cfRule type="expression" dxfId="1891" priority="20990" stopIfTrue="1">
      <formula>$EK$21=2</formula>
    </cfRule>
  </conditionalFormatting>
  <conditionalFormatting sqref="EK21">
    <cfRule type="expression" dxfId="1890" priority="20989" stopIfTrue="1">
      <formula>$EK$20=2</formula>
    </cfRule>
  </conditionalFormatting>
  <conditionalFormatting sqref="EK20:EK21">
    <cfRule type="expression" dxfId="1889" priority="20984" stopIfTrue="1">
      <formula>NOT(AND(SUM($EK$20:$EK$21) &lt;= 3,AND(NOT($EK$20&lt;0),NOT($EK$21&lt;0)),NOT(AND($EK$20=0,$EK$21=3)),NOT(AND($EK$20=3,$EK$21=0))))</formula>
    </cfRule>
  </conditionalFormatting>
  <conditionalFormatting sqref="EO20:EO21">
    <cfRule type="cellIs" dxfId="1888" priority="20987" stopIfTrue="1" operator="equal">
      <formula>2</formula>
    </cfRule>
  </conditionalFormatting>
  <conditionalFormatting sqref="EO20">
    <cfRule type="expression" dxfId="1887" priority="20986" stopIfTrue="1">
      <formula>$EO$21=2</formula>
    </cfRule>
  </conditionalFormatting>
  <conditionalFormatting sqref="EO21">
    <cfRule type="expression" dxfId="1886" priority="20985" stopIfTrue="1">
      <formula>$EO$20=2</formula>
    </cfRule>
  </conditionalFormatting>
  <conditionalFormatting sqref="EO20:EO21">
    <cfRule type="expression" dxfId="1885" priority="20980" stopIfTrue="1">
      <formula>NOT(AND(SUM($EO$20:$EO$21) &lt;= 3,AND(NOT($EO$20&lt;0),NOT($EO$21&lt;0)),NOT(AND($EO$20=0,$EO$21=3)),NOT(AND($EO$20=3,$EO$21=0))))</formula>
    </cfRule>
  </conditionalFormatting>
  <conditionalFormatting sqref="ES20:ES21">
    <cfRule type="cellIs" dxfId="1884" priority="20983" stopIfTrue="1" operator="equal">
      <formula>2</formula>
    </cfRule>
  </conditionalFormatting>
  <conditionalFormatting sqref="ES20">
    <cfRule type="expression" dxfId="1883" priority="20982" stopIfTrue="1">
      <formula>$ES$21=2</formula>
    </cfRule>
  </conditionalFormatting>
  <conditionalFormatting sqref="ES21">
    <cfRule type="expression" dxfId="1882" priority="20981" stopIfTrue="1">
      <formula>$ES$20=2</formula>
    </cfRule>
  </conditionalFormatting>
  <conditionalFormatting sqref="ES20:ES21">
    <cfRule type="expression" dxfId="1881" priority="20976" stopIfTrue="1">
      <formula>NOT(AND(SUM($ES$20:$ES$21) &lt;= 3,AND(NOT($ES$20&lt;0),NOT($ES$21&lt;0)),NOT(AND($ES$20=0,$ES$21=3)),NOT(AND($ES$20=3,$ES$21=0))))</formula>
    </cfRule>
  </conditionalFormatting>
  <conditionalFormatting sqref="EW20:EW21">
    <cfRule type="cellIs" dxfId="1880" priority="20979" stopIfTrue="1" operator="equal">
      <formula>2</formula>
    </cfRule>
  </conditionalFormatting>
  <conditionalFormatting sqref="EW20">
    <cfRule type="expression" dxfId="1879" priority="20978" stopIfTrue="1">
      <formula>$EW$21=2</formula>
    </cfRule>
  </conditionalFormatting>
  <conditionalFormatting sqref="EW21">
    <cfRule type="expression" dxfId="1878" priority="20977" stopIfTrue="1">
      <formula>$EW$20=2</formula>
    </cfRule>
  </conditionalFormatting>
  <conditionalFormatting sqref="EW20:EW21">
    <cfRule type="expression" dxfId="1877" priority="20972" stopIfTrue="1">
      <formula>NOT(AND(SUM($EW$20:$EW$21) &lt;= 3,AND(NOT($EW$20&lt;0),NOT($EW$21&lt;0)),NOT(AND($EW$20=0,$EW$21=3)),NOT(AND($EW$20=3,$EW$21=0))))</formula>
    </cfRule>
  </conditionalFormatting>
  <conditionalFormatting sqref="FA20:FA21">
    <cfRule type="cellIs" dxfId="1876" priority="20975" stopIfTrue="1" operator="equal">
      <formula>2</formula>
    </cfRule>
  </conditionalFormatting>
  <conditionalFormatting sqref="FA20">
    <cfRule type="expression" dxfId="1875" priority="20974" stopIfTrue="1">
      <formula>$FA$21=2</formula>
    </cfRule>
  </conditionalFormatting>
  <conditionalFormatting sqref="FA21">
    <cfRule type="expression" dxfId="1874" priority="20973" stopIfTrue="1">
      <formula>$FA$20=2</formula>
    </cfRule>
  </conditionalFormatting>
  <conditionalFormatting sqref="FA20:FA21">
    <cfRule type="expression" dxfId="1873" priority="20968" stopIfTrue="1">
      <formula>NOT(AND(SUM($FA$20:$FA$21) &lt;= 3,AND(NOT($FA$20&lt;0),NOT($FA$21&lt;0)),NOT(AND($FA$20=0,$FA$21=3)),NOT(AND($FA$20=3,$FA$21=0))))</formula>
    </cfRule>
  </conditionalFormatting>
  <conditionalFormatting sqref="FE20:FE21">
    <cfRule type="cellIs" dxfId="1872" priority="20971" stopIfTrue="1" operator="equal">
      <formula>2</formula>
    </cfRule>
  </conditionalFormatting>
  <conditionalFormatting sqref="FE20">
    <cfRule type="expression" dxfId="1871" priority="20970" stopIfTrue="1">
      <formula>$FE$21=2</formula>
    </cfRule>
  </conditionalFormatting>
  <conditionalFormatting sqref="FE21">
    <cfRule type="expression" dxfId="1870" priority="20969" stopIfTrue="1">
      <formula>$FE$20=2</formula>
    </cfRule>
  </conditionalFormatting>
  <conditionalFormatting sqref="FE20:FE21">
    <cfRule type="expression" dxfId="1869" priority="20964" stopIfTrue="1">
      <formula>NOT(AND(SUM($FE$20:$FE$21) &lt;= 3,AND(NOT($FE$20&lt;0),NOT($FE$21&lt;0)),NOT(AND($FE$20=0,$FE$21=3)),NOT(AND($FE$20=3,$FE$21=0))))</formula>
    </cfRule>
  </conditionalFormatting>
  <conditionalFormatting sqref="FI20:FI21">
    <cfRule type="cellIs" dxfId="1868" priority="20967" stopIfTrue="1" operator="equal">
      <formula>2</formula>
    </cfRule>
  </conditionalFormatting>
  <conditionalFormatting sqref="FI20">
    <cfRule type="expression" dxfId="1867" priority="20966" stopIfTrue="1">
      <formula>$FI$21=2</formula>
    </cfRule>
  </conditionalFormatting>
  <conditionalFormatting sqref="FI21">
    <cfRule type="expression" dxfId="1866" priority="20965" stopIfTrue="1">
      <formula>$FI$20=2</formula>
    </cfRule>
  </conditionalFormatting>
  <conditionalFormatting sqref="FI20:FI21">
    <cfRule type="expression" dxfId="1865" priority="20960" stopIfTrue="1">
      <formula>NOT(AND(SUM($FI$20:$FI$21) &lt;= 3,AND(NOT($FI$20&lt;0),NOT($FI$21&lt;0)),NOT(AND($FI$20=0,$FI$21=3)),NOT(AND($FI$20=3,$FI$21=0))))</formula>
    </cfRule>
  </conditionalFormatting>
  <conditionalFormatting sqref="FM20:FM21">
    <cfRule type="cellIs" dxfId="1864" priority="20963" stopIfTrue="1" operator="equal">
      <formula>2</formula>
    </cfRule>
  </conditionalFormatting>
  <conditionalFormatting sqref="FM20">
    <cfRule type="expression" dxfId="1863" priority="20962" stopIfTrue="1">
      <formula>$FM$21=2</formula>
    </cfRule>
  </conditionalFormatting>
  <conditionalFormatting sqref="FM21">
    <cfRule type="expression" dxfId="1862" priority="20961" stopIfTrue="1">
      <formula>$FM$20=2</formula>
    </cfRule>
  </conditionalFormatting>
  <conditionalFormatting sqref="FM20:FM21">
    <cfRule type="expression" dxfId="1861" priority="20956" stopIfTrue="1">
      <formula>NOT(AND(SUM($FM$20:$FM$21) &lt;= 3,AND(NOT($FM$20&lt;0),NOT($FM$21&lt;0)),NOT(AND($FM$20=0,$FM$21=3)),NOT(AND($FM$20=3,$FM$21=0))))</formula>
    </cfRule>
  </conditionalFormatting>
  <conditionalFormatting sqref="DY24:DY25">
    <cfRule type="cellIs" dxfId="1860" priority="20923" stopIfTrue="1" operator="equal">
      <formula>2</formula>
    </cfRule>
  </conditionalFormatting>
  <conditionalFormatting sqref="DY24">
    <cfRule type="expression" dxfId="1859" priority="20922" stopIfTrue="1">
      <formula>$DY$25=2</formula>
    </cfRule>
  </conditionalFormatting>
  <conditionalFormatting sqref="DY25">
    <cfRule type="expression" dxfId="1858" priority="20921" stopIfTrue="1">
      <formula>$DY$24=2</formula>
    </cfRule>
  </conditionalFormatting>
  <conditionalFormatting sqref="DY24:DY25">
    <cfRule type="expression" dxfId="1857" priority="20916" stopIfTrue="1">
      <formula>NOT(AND(SUM($DY$24:$DY$25) &lt;= 3,AND(NOT($DY$24&lt;0),NOT($DY$25&lt;0)),NOT(AND($DY$24=0,$DY$25=3)),NOT(AND($DY$24=3,$DY$25=0))))</formula>
    </cfRule>
  </conditionalFormatting>
  <conditionalFormatting sqref="EC24:EC25">
    <cfRule type="cellIs" dxfId="1856" priority="20919" stopIfTrue="1" operator="equal">
      <formula>2</formula>
    </cfRule>
  </conditionalFormatting>
  <conditionalFormatting sqref="EC24">
    <cfRule type="expression" dxfId="1855" priority="20918" stopIfTrue="1">
      <formula>$EC$25=2</formula>
    </cfRule>
  </conditionalFormatting>
  <conditionalFormatting sqref="EC25">
    <cfRule type="expression" dxfId="1854" priority="20917" stopIfTrue="1">
      <formula>$EC$24=2</formula>
    </cfRule>
  </conditionalFormatting>
  <conditionalFormatting sqref="EC24:EC25">
    <cfRule type="expression" dxfId="1853" priority="20912" stopIfTrue="1">
      <formula>NOT(AND(SUM($EC$24:$EC$25) &lt;= 3,AND(NOT($EC$24&lt;0),NOT($EC$25&lt;0)),NOT(AND($EC$24=0,$EC$25=3)),NOT(AND($EC$24=3,$EC$25=0))))</formula>
    </cfRule>
  </conditionalFormatting>
  <conditionalFormatting sqref="EG24:EG25">
    <cfRule type="cellIs" dxfId="1852" priority="20915" stopIfTrue="1" operator="equal">
      <formula>2</formula>
    </cfRule>
  </conditionalFormatting>
  <conditionalFormatting sqref="EG24">
    <cfRule type="expression" dxfId="1851" priority="20914" stopIfTrue="1">
      <formula>$EG$25=2</formula>
    </cfRule>
  </conditionalFormatting>
  <conditionalFormatting sqref="EG25">
    <cfRule type="expression" dxfId="1850" priority="20913" stopIfTrue="1">
      <formula>$EG$24=2</formula>
    </cfRule>
  </conditionalFormatting>
  <conditionalFormatting sqref="EG24:EG25">
    <cfRule type="expression" dxfId="1849" priority="20908" stopIfTrue="1">
      <formula>NOT(AND(SUM($EG$24:$EG$25) &lt;= 3,AND(NOT($EG$24&lt;0),NOT($EG$25&lt;0)),NOT(AND($EG$24=0,$EG$25=3)),NOT(AND($EG$24=3,$EG$25=0))))</formula>
    </cfRule>
  </conditionalFormatting>
  <conditionalFormatting sqref="EK24:EK25">
    <cfRule type="cellIs" dxfId="1848" priority="20911" stopIfTrue="1" operator="equal">
      <formula>2</formula>
    </cfRule>
  </conditionalFormatting>
  <conditionalFormatting sqref="EK24">
    <cfRule type="expression" dxfId="1847" priority="20910" stopIfTrue="1">
      <formula>$EK$25=2</formula>
    </cfRule>
  </conditionalFormatting>
  <conditionalFormatting sqref="EK25">
    <cfRule type="expression" dxfId="1846" priority="20909" stopIfTrue="1">
      <formula>$EK$24=2</formula>
    </cfRule>
  </conditionalFormatting>
  <conditionalFormatting sqref="EK24:EK25">
    <cfRule type="expression" dxfId="1845" priority="20904" stopIfTrue="1">
      <formula>NOT(AND(SUM($EK$24:$EK$25) &lt;= 3,AND(NOT($EK$24&lt;0),NOT($EK$25&lt;0)),NOT(AND($EK$24=0,$EK$25=3)),NOT(AND($EK$24=3,$EK$25=0))))</formula>
    </cfRule>
  </conditionalFormatting>
  <conditionalFormatting sqref="EO24:EO25">
    <cfRule type="cellIs" dxfId="1844" priority="20907" stopIfTrue="1" operator="equal">
      <formula>2</formula>
    </cfRule>
  </conditionalFormatting>
  <conditionalFormatting sqref="EO24">
    <cfRule type="expression" dxfId="1843" priority="20906" stopIfTrue="1">
      <formula>$EO$25=2</formula>
    </cfRule>
  </conditionalFormatting>
  <conditionalFormatting sqref="EO25">
    <cfRule type="expression" dxfId="1842" priority="20905" stopIfTrue="1">
      <formula>$EO$24=2</formula>
    </cfRule>
  </conditionalFormatting>
  <conditionalFormatting sqref="EO24:EO25">
    <cfRule type="expression" dxfId="1841" priority="20900" stopIfTrue="1">
      <formula>NOT(AND(SUM($EO$24:$EO$25) &lt;= 3,AND(NOT($EO$24&lt;0),NOT($EO$25&lt;0)),NOT(AND($EO$24=0,$EO$25=3)),NOT(AND($EO$24=3,$EO$25=0))))</formula>
    </cfRule>
  </conditionalFormatting>
  <conditionalFormatting sqref="ES24:ES25">
    <cfRule type="cellIs" dxfId="1840" priority="20903" stopIfTrue="1" operator="equal">
      <formula>2</formula>
    </cfRule>
  </conditionalFormatting>
  <conditionalFormatting sqref="ES24">
    <cfRule type="expression" dxfId="1839" priority="20902" stopIfTrue="1">
      <formula>$ES$25=2</formula>
    </cfRule>
  </conditionalFormatting>
  <conditionalFormatting sqref="ES25">
    <cfRule type="expression" dxfId="1838" priority="20901" stopIfTrue="1">
      <formula>$ES$24=2</formula>
    </cfRule>
  </conditionalFormatting>
  <conditionalFormatting sqref="ES24:ES25">
    <cfRule type="expression" dxfId="1837" priority="20896" stopIfTrue="1">
      <formula>NOT(AND(SUM($ES$24:$ES$25) &lt;= 3,AND(NOT($ES$24&lt;0),NOT($ES$25&lt;0)),NOT(AND($ES$24=0,$ES$25=3)),NOT(AND($ES$24=3,$ES$25=0))))</formula>
    </cfRule>
  </conditionalFormatting>
  <conditionalFormatting sqref="EW24:EW25">
    <cfRule type="cellIs" dxfId="1836" priority="20899" stopIfTrue="1" operator="equal">
      <formula>2</formula>
    </cfRule>
  </conditionalFormatting>
  <conditionalFormatting sqref="EW24">
    <cfRule type="expression" dxfId="1835" priority="20898" stopIfTrue="1">
      <formula>$EW$25=2</formula>
    </cfRule>
  </conditionalFormatting>
  <conditionalFormatting sqref="EW25">
    <cfRule type="expression" dxfId="1834" priority="20897" stopIfTrue="1">
      <formula>$EW$24=2</formula>
    </cfRule>
  </conditionalFormatting>
  <conditionalFormatting sqref="EW24:EW25">
    <cfRule type="expression" dxfId="1833" priority="20892" stopIfTrue="1">
      <formula>NOT(AND(SUM($EW$24:$EW$25) &lt;= 3,AND(NOT($EW$24&lt;0),NOT($EW$25&lt;0)),NOT(AND($EW$24=0,$EW$25=3)),NOT(AND($EW$24=3,$EW$25=0))))</formula>
    </cfRule>
  </conditionalFormatting>
  <conditionalFormatting sqref="FA24:FA25">
    <cfRule type="cellIs" dxfId="1832" priority="20895" stopIfTrue="1" operator="equal">
      <formula>2</formula>
    </cfRule>
  </conditionalFormatting>
  <conditionalFormatting sqref="FA24">
    <cfRule type="expression" dxfId="1831" priority="20894" stopIfTrue="1">
      <formula>$FA$25=2</formula>
    </cfRule>
  </conditionalFormatting>
  <conditionalFormatting sqref="FA25">
    <cfRule type="expression" dxfId="1830" priority="20893" stopIfTrue="1">
      <formula>$FA$24=2</formula>
    </cfRule>
  </conditionalFormatting>
  <conditionalFormatting sqref="FA24:FA25">
    <cfRule type="expression" dxfId="1829" priority="20888" stopIfTrue="1">
      <formula>NOT(AND(SUM($FA$24:$FA$25) &lt;= 3,AND(NOT($FA$24&lt;0),NOT($FA$25&lt;0)),NOT(AND($FA$24=0,$FA$25=3)),NOT(AND($FA$24=3,$FA$25=0))))</formula>
    </cfRule>
  </conditionalFormatting>
  <conditionalFormatting sqref="FE24:FE25">
    <cfRule type="cellIs" dxfId="1828" priority="20891" stopIfTrue="1" operator="equal">
      <formula>2</formula>
    </cfRule>
  </conditionalFormatting>
  <conditionalFormatting sqref="FE24">
    <cfRule type="expression" dxfId="1827" priority="20890" stopIfTrue="1">
      <formula>$FE$25=2</formula>
    </cfRule>
  </conditionalFormatting>
  <conditionalFormatting sqref="FE25">
    <cfRule type="expression" dxfId="1826" priority="20889" stopIfTrue="1">
      <formula>$FE$24=2</formula>
    </cfRule>
  </conditionalFormatting>
  <conditionalFormatting sqref="FE24:FE25">
    <cfRule type="expression" dxfId="1825" priority="20884" stopIfTrue="1">
      <formula>NOT(AND(SUM($FE$24:$FE$25) &lt;= 3,AND(NOT($FE$24&lt;0),NOT($FE$25&lt;0)),NOT(AND($FE$24=0,$FE$25=3)),NOT(AND($FE$24=3,$FE$25=0))))</formula>
    </cfRule>
  </conditionalFormatting>
  <conditionalFormatting sqref="FI24:FI25">
    <cfRule type="cellIs" dxfId="1824" priority="20887" stopIfTrue="1" operator="equal">
      <formula>2</formula>
    </cfRule>
  </conditionalFormatting>
  <conditionalFormatting sqref="FI24">
    <cfRule type="expression" dxfId="1823" priority="20886" stopIfTrue="1">
      <formula>$FI$25=2</formula>
    </cfRule>
  </conditionalFormatting>
  <conditionalFormatting sqref="FI25">
    <cfRule type="expression" dxfId="1822" priority="20885" stopIfTrue="1">
      <formula>$FI$24=2</formula>
    </cfRule>
  </conditionalFormatting>
  <conditionalFormatting sqref="FI24:FI25">
    <cfRule type="expression" dxfId="1821" priority="20880" stopIfTrue="1">
      <formula>NOT(AND(SUM($FI$24:$FI$25) &lt;= 3,AND(NOT($FI$24&lt;0),NOT($FI$25&lt;0)),NOT(AND($FI$24=0,$FI$25=3)),NOT(AND($FI$24=3,$FI$25=0))))</formula>
    </cfRule>
  </conditionalFormatting>
  <conditionalFormatting sqref="FM24:FM25">
    <cfRule type="cellIs" dxfId="1820" priority="20883" stopIfTrue="1" operator="equal">
      <formula>2</formula>
    </cfRule>
  </conditionalFormatting>
  <conditionalFormatting sqref="FM24">
    <cfRule type="expression" dxfId="1819" priority="20882" stopIfTrue="1">
      <formula>$FM$25=2</formula>
    </cfRule>
  </conditionalFormatting>
  <conditionalFormatting sqref="FM25">
    <cfRule type="expression" dxfId="1818" priority="20881" stopIfTrue="1">
      <formula>$FM$24=2</formula>
    </cfRule>
  </conditionalFormatting>
  <conditionalFormatting sqref="FM24:FM25">
    <cfRule type="expression" dxfId="1817" priority="20876" stopIfTrue="1">
      <formula>NOT(AND(SUM($FM$24:$FM$25) &lt;= 3,AND(NOT($FM$24&lt;0),NOT($FM$25&lt;0)),NOT(AND($FM$24=0,$FM$25=3)),NOT(AND($FM$24=3,$FM$25=0))))</formula>
    </cfRule>
  </conditionalFormatting>
  <conditionalFormatting sqref="DY28:DY29">
    <cfRule type="cellIs" dxfId="1816" priority="20843" stopIfTrue="1" operator="equal">
      <formula>2</formula>
    </cfRule>
  </conditionalFormatting>
  <conditionalFormatting sqref="DY28">
    <cfRule type="expression" dxfId="1815" priority="20842" stopIfTrue="1">
      <formula>$DY$29=2</formula>
    </cfRule>
  </conditionalFormatting>
  <conditionalFormatting sqref="DY29">
    <cfRule type="expression" dxfId="1814" priority="20841" stopIfTrue="1">
      <formula>$DY$28=2</formula>
    </cfRule>
  </conditionalFormatting>
  <conditionalFormatting sqref="DY28:DY29">
    <cfRule type="expression" dxfId="1813" priority="20836" stopIfTrue="1">
      <formula>NOT(AND(SUM($DY$28:$DY$29) &lt;= 3,AND(NOT($DY$28&lt;0),NOT($DY$29&lt;0)),NOT(AND($DY$28=0,$DY$29=3)),NOT(AND($DY$28=3,$DY$29=0))))</formula>
    </cfRule>
  </conditionalFormatting>
  <conditionalFormatting sqref="EC28:EC29">
    <cfRule type="cellIs" dxfId="1812" priority="20839" stopIfTrue="1" operator="equal">
      <formula>2</formula>
    </cfRule>
  </conditionalFormatting>
  <conditionalFormatting sqref="EC28">
    <cfRule type="expression" dxfId="1811" priority="20838" stopIfTrue="1">
      <formula>$EC$29=2</formula>
    </cfRule>
  </conditionalFormatting>
  <conditionalFormatting sqref="EC29">
    <cfRule type="expression" dxfId="1810" priority="20837" stopIfTrue="1">
      <formula>$EC$28=2</formula>
    </cfRule>
  </conditionalFormatting>
  <conditionalFormatting sqref="EC28:EC29">
    <cfRule type="expression" dxfId="1809" priority="20832" stopIfTrue="1">
      <formula>NOT(AND(SUM($EC$28:$EC$29) &lt;= 3,AND(NOT($EC$28&lt;0),NOT($EC$29&lt;0)),NOT(AND($EC$28=0,$EC$29=3)),NOT(AND($EC$28=3,$EC$29=0))))</formula>
    </cfRule>
  </conditionalFormatting>
  <conditionalFormatting sqref="EG28:EG29">
    <cfRule type="cellIs" dxfId="1808" priority="20835" stopIfTrue="1" operator="equal">
      <formula>2</formula>
    </cfRule>
  </conditionalFormatting>
  <conditionalFormatting sqref="EG28">
    <cfRule type="expression" dxfId="1807" priority="20834" stopIfTrue="1">
      <formula>$EG$29=2</formula>
    </cfRule>
  </conditionalFormatting>
  <conditionalFormatting sqref="EG29">
    <cfRule type="expression" dxfId="1806" priority="20833" stopIfTrue="1">
      <formula>$EG$28=2</formula>
    </cfRule>
  </conditionalFormatting>
  <conditionalFormatting sqref="EG28:EG29">
    <cfRule type="expression" dxfId="1805" priority="20828" stopIfTrue="1">
      <formula>NOT(AND(SUM($EG$28:$EG$29) &lt;= 3,AND(NOT($EG$28&lt;0),NOT($EG$29&lt;0)),NOT(AND($EG$28=0,$EG$29=3)),NOT(AND($EG$28=3,$EG$29=0))))</formula>
    </cfRule>
  </conditionalFormatting>
  <conditionalFormatting sqref="EK28:EK29">
    <cfRule type="cellIs" dxfId="1804" priority="20831" stopIfTrue="1" operator="equal">
      <formula>2</formula>
    </cfRule>
  </conditionalFormatting>
  <conditionalFormatting sqref="EK28">
    <cfRule type="expression" dxfId="1803" priority="20830" stopIfTrue="1">
      <formula>$EK$29=2</formula>
    </cfRule>
  </conditionalFormatting>
  <conditionalFormatting sqref="EK29">
    <cfRule type="expression" dxfId="1802" priority="20829" stopIfTrue="1">
      <formula>$EK$28=2</formula>
    </cfRule>
  </conditionalFormatting>
  <conditionalFormatting sqref="EK28:EK29">
    <cfRule type="expression" dxfId="1801" priority="20824" stopIfTrue="1">
      <formula>NOT(AND(SUM($EK$28:$EK$29) &lt;= 3,AND(NOT($EK$28&lt;0),NOT($EK$29&lt;0)),NOT(AND($EK$28=0,$EK$29=3)),NOT(AND($EK$28=3,$EK$29=0))))</formula>
    </cfRule>
  </conditionalFormatting>
  <conditionalFormatting sqref="EO28:EO29">
    <cfRule type="cellIs" dxfId="1800" priority="20827" stopIfTrue="1" operator="equal">
      <formula>2</formula>
    </cfRule>
  </conditionalFormatting>
  <conditionalFormatting sqref="EO28">
    <cfRule type="expression" dxfId="1799" priority="20826" stopIfTrue="1">
      <formula>$EO$29=2</formula>
    </cfRule>
  </conditionalFormatting>
  <conditionalFormatting sqref="EO29">
    <cfRule type="expression" dxfId="1798" priority="20825" stopIfTrue="1">
      <formula>$EO$28=2</formula>
    </cfRule>
  </conditionalFormatting>
  <conditionalFormatting sqref="EO28:EO29">
    <cfRule type="expression" dxfId="1797" priority="20820" stopIfTrue="1">
      <formula>NOT(AND(SUM($EO$28:$EO$29) &lt;= 3,AND(NOT($EO$28&lt;0),NOT($EO$29&lt;0)),NOT(AND($EO$28=0,$EO$29=3)),NOT(AND($EO$28=3,$EO$29=0))))</formula>
    </cfRule>
  </conditionalFormatting>
  <conditionalFormatting sqref="ES28:ES29">
    <cfRule type="cellIs" dxfId="1796" priority="20823" stopIfTrue="1" operator="equal">
      <formula>2</formula>
    </cfRule>
  </conditionalFormatting>
  <conditionalFormatting sqref="ES28">
    <cfRule type="expression" dxfId="1795" priority="20822" stopIfTrue="1">
      <formula>$ES$29=2</formula>
    </cfRule>
  </conditionalFormatting>
  <conditionalFormatting sqref="ES29">
    <cfRule type="expression" dxfId="1794" priority="20821" stopIfTrue="1">
      <formula>$ES$28=2</formula>
    </cfRule>
  </conditionalFormatting>
  <conditionalFormatting sqref="ES28:ES29">
    <cfRule type="expression" dxfId="1793" priority="20816" stopIfTrue="1">
      <formula>NOT(AND(SUM($ES$28:$ES$29) &lt;= 3,AND(NOT($ES$28&lt;0),NOT($ES$29&lt;0)),NOT(AND($ES$28=0,$ES$29=3)),NOT(AND($ES$28=3,$ES$29=0))))</formula>
    </cfRule>
  </conditionalFormatting>
  <conditionalFormatting sqref="EW28:EW29">
    <cfRule type="cellIs" dxfId="1792" priority="20819" stopIfTrue="1" operator="equal">
      <formula>2</formula>
    </cfRule>
  </conditionalFormatting>
  <conditionalFormatting sqref="EW28">
    <cfRule type="expression" dxfId="1791" priority="20818" stopIfTrue="1">
      <formula>$EW$29=2</formula>
    </cfRule>
  </conditionalFormatting>
  <conditionalFormatting sqref="EW29">
    <cfRule type="expression" dxfId="1790" priority="20817" stopIfTrue="1">
      <formula>$EW$28=2</formula>
    </cfRule>
  </conditionalFormatting>
  <conditionalFormatting sqref="EW28:EW29">
    <cfRule type="expression" dxfId="1789" priority="20812" stopIfTrue="1">
      <formula>NOT(AND(SUM($EW$28:$EW$29) &lt;= 3,AND(NOT($EW$28&lt;0),NOT($EW$29&lt;0)),NOT(AND($EW$28=0,$EW$29=3)),NOT(AND($EW$28=3,$EW$29=0))))</formula>
    </cfRule>
  </conditionalFormatting>
  <conditionalFormatting sqref="FA28:FA29">
    <cfRule type="cellIs" dxfId="1788" priority="20815" stopIfTrue="1" operator="equal">
      <formula>2</formula>
    </cfRule>
  </conditionalFormatting>
  <conditionalFormatting sqref="FA28">
    <cfRule type="expression" dxfId="1787" priority="20814" stopIfTrue="1">
      <formula>$FA$29=2</formula>
    </cfRule>
  </conditionalFormatting>
  <conditionalFormatting sqref="FA29">
    <cfRule type="expression" dxfId="1786" priority="20813" stopIfTrue="1">
      <formula>$FA$28=2</formula>
    </cfRule>
  </conditionalFormatting>
  <conditionalFormatting sqref="FA28:FA29">
    <cfRule type="expression" dxfId="1785" priority="20808" stopIfTrue="1">
      <formula>NOT(AND(SUM($FA$28:$FA$29) &lt;= 3,AND(NOT($FA$28&lt;0),NOT($FA$29&lt;0)),NOT(AND($FA$28=0,$FA$29=3)),NOT(AND($FA$28=3,$FA$29=0))))</formula>
    </cfRule>
  </conditionalFormatting>
  <conditionalFormatting sqref="FE28:FE29">
    <cfRule type="cellIs" dxfId="1784" priority="20811" stopIfTrue="1" operator="equal">
      <formula>2</formula>
    </cfRule>
  </conditionalFormatting>
  <conditionalFormatting sqref="FE28">
    <cfRule type="expression" dxfId="1783" priority="20810" stopIfTrue="1">
      <formula>$FE$29=2</formula>
    </cfRule>
  </conditionalFormatting>
  <conditionalFormatting sqref="FE29">
    <cfRule type="expression" dxfId="1782" priority="20809" stopIfTrue="1">
      <formula>$FE$28=2</formula>
    </cfRule>
  </conditionalFormatting>
  <conditionalFormatting sqref="FE28:FE29">
    <cfRule type="expression" dxfId="1781" priority="20804" stopIfTrue="1">
      <formula>NOT(AND(SUM($FE$28:$FE$29) &lt;= 3,AND(NOT($FE$28&lt;0),NOT($FE$29&lt;0)),NOT(AND($FE$28=0,$FE$29=3)),NOT(AND($FE$28=3,$FE$29=0))))</formula>
    </cfRule>
  </conditionalFormatting>
  <conditionalFormatting sqref="FI28:FI29">
    <cfRule type="cellIs" dxfId="1780" priority="20807" stopIfTrue="1" operator="equal">
      <formula>2</formula>
    </cfRule>
  </conditionalFormatting>
  <conditionalFormatting sqref="FI28">
    <cfRule type="expression" dxfId="1779" priority="20806" stopIfTrue="1">
      <formula>$FI$29=2</formula>
    </cfRule>
  </conditionalFormatting>
  <conditionalFormatting sqref="FI29">
    <cfRule type="expression" dxfId="1778" priority="20805" stopIfTrue="1">
      <formula>$FI$28=2</formula>
    </cfRule>
  </conditionalFormatting>
  <conditionalFormatting sqref="FI28:FI29">
    <cfRule type="expression" dxfId="1777" priority="20800" stopIfTrue="1">
      <formula>NOT(AND(SUM($FI$28:$FI$29) &lt;= 3,AND(NOT($FI$28&lt;0),NOT($FI$29&lt;0)),NOT(AND($FI$28=0,$FI$29=3)),NOT(AND($FI$28=3,$FI$29=0))))</formula>
    </cfRule>
  </conditionalFormatting>
  <conditionalFormatting sqref="FM28:FM29">
    <cfRule type="cellIs" dxfId="1776" priority="20803" stopIfTrue="1" operator="equal">
      <formula>2</formula>
    </cfRule>
  </conditionalFormatting>
  <conditionalFormatting sqref="FM28">
    <cfRule type="expression" dxfId="1775" priority="20802" stopIfTrue="1">
      <formula>$FM$29=2</formula>
    </cfRule>
  </conditionalFormatting>
  <conditionalFormatting sqref="FM29">
    <cfRule type="expression" dxfId="1774" priority="20801" stopIfTrue="1">
      <formula>$FM$28=2</formula>
    </cfRule>
  </conditionalFormatting>
  <conditionalFormatting sqref="FM28:FM29">
    <cfRule type="expression" dxfId="1773" priority="20796" stopIfTrue="1">
      <formula>NOT(AND(SUM($FM$28:$FM$29) &lt;= 3,AND(NOT($FM$28&lt;0),NOT($FM$29&lt;0)),NOT(AND($FM$28=0,$FM$29=3)),NOT(AND($FM$28=3,$FM$29=0))))</formula>
    </cfRule>
  </conditionalFormatting>
  <conditionalFormatting sqref="DY32:DY33">
    <cfRule type="cellIs" dxfId="1772" priority="20763" stopIfTrue="1" operator="equal">
      <formula>2</formula>
    </cfRule>
  </conditionalFormatting>
  <conditionalFormatting sqref="DY32">
    <cfRule type="expression" dxfId="1771" priority="20762" stopIfTrue="1">
      <formula>$DY$33=2</formula>
    </cfRule>
  </conditionalFormatting>
  <conditionalFormatting sqref="DY33">
    <cfRule type="expression" dxfId="1770" priority="20761" stopIfTrue="1">
      <formula>$DY$32=2</formula>
    </cfRule>
  </conditionalFormatting>
  <conditionalFormatting sqref="DY32:DY33">
    <cfRule type="expression" dxfId="1769" priority="20756" stopIfTrue="1">
      <formula>NOT(AND(SUM($DY$32:$DY$33) &lt;= 3,AND(NOT($DY$32&lt;0),NOT($DY$33&lt;0)),NOT(AND($DY$32=0,$DY$33=3)),NOT(AND($DY$32=3,$DY$33=0))))</formula>
    </cfRule>
  </conditionalFormatting>
  <conditionalFormatting sqref="EC32:EC33">
    <cfRule type="expression" dxfId="1768" priority="20752" stopIfTrue="1">
      <formula>NOT(AND(SUM($EC$32:$EC$33) &lt;= 3,AND(NOT($EC$32&lt;0),NOT($EC$33&lt;0)),NOT(AND($EC$32=0,$EC$33=3)),NOT(AND($EC$32=3,$EC$33=0))))</formula>
    </cfRule>
    <cfRule type="cellIs" dxfId="1767" priority="20759" stopIfTrue="1" operator="equal">
      <formula>2</formula>
    </cfRule>
  </conditionalFormatting>
  <conditionalFormatting sqref="EC32">
    <cfRule type="expression" dxfId="1766" priority="20758" stopIfTrue="1">
      <formula>$EC$33=2</formula>
    </cfRule>
  </conditionalFormatting>
  <conditionalFormatting sqref="EC33">
    <cfRule type="expression" dxfId="1765" priority="20757" stopIfTrue="1">
      <formula>$EC$32=2</formula>
    </cfRule>
  </conditionalFormatting>
  <conditionalFormatting sqref="EG32:EG33">
    <cfRule type="cellIs" dxfId="1764" priority="20755" stopIfTrue="1" operator="equal">
      <formula>2</formula>
    </cfRule>
  </conditionalFormatting>
  <conditionalFormatting sqref="EG32">
    <cfRule type="expression" dxfId="1763" priority="20754" stopIfTrue="1">
      <formula>$EG$33=2</formula>
    </cfRule>
  </conditionalFormatting>
  <conditionalFormatting sqref="EG33">
    <cfRule type="expression" dxfId="1762" priority="20753" stopIfTrue="1">
      <formula>$EG$32=2</formula>
    </cfRule>
  </conditionalFormatting>
  <conditionalFormatting sqref="EG32:EG33">
    <cfRule type="expression" dxfId="1761" priority="20748" stopIfTrue="1">
      <formula>NOT(AND(SUM($EG$32:$EG$33) &lt;= 3,AND(NOT($EG$32&lt;0),NOT($EG$33&lt;0)),NOT(AND($EG$32=0,$EG$33=3)),NOT(AND($EG$32=3,$EG$33=0))))</formula>
    </cfRule>
  </conditionalFormatting>
  <conditionalFormatting sqref="EK32:EK33">
    <cfRule type="cellIs" dxfId="1760" priority="20751" stopIfTrue="1" operator="equal">
      <formula>2</formula>
    </cfRule>
  </conditionalFormatting>
  <conditionalFormatting sqref="EK32">
    <cfRule type="expression" dxfId="1759" priority="20750" stopIfTrue="1">
      <formula>$EK$33=2</formula>
    </cfRule>
  </conditionalFormatting>
  <conditionalFormatting sqref="EK33">
    <cfRule type="expression" dxfId="1758" priority="20749" stopIfTrue="1">
      <formula>$EK$32=2</formula>
    </cfRule>
  </conditionalFormatting>
  <conditionalFormatting sqref="EK32:EK33">
    <cfRule type="expression" dxfId="1757" priority="20744" stopIfTrue="1">
      <formula>NOT(AND(SUM($EK$32:$EK$33) &lt;= 3,AND(NOT($EK$32&lt;0),NOT($EK$33&lt;0)),NOT(AND($EK$32=0,$EK$33=3)),NOT(AND($EK$32=3,$EK$33=0))))</formula>
    </cfRule>
  </conditionalFormatting>
  <conditionalFormatting sqref="EO32:EO33">
    <cfRule type="cellIs" dxfId="1756" priority="20747" stopIfTrue="1" operator="equal">
      <formula>2</formula>
    </cfRule>
  </conditionalFormatting>
  <conditionalFormatting sqref="EO32">
    <cfRule type="expression" dxfId="1755" priority="20746" stopIfTrue="1">
      <formula>$EO$33=2</formula>
    </cfRule>
  </conditionalFormatting>
  <conditionalFormatting sqref="EO33">
    <cfRule type="expression" dxfId="1754" priority="20745" stopIfTrue="1">
      <formula>$EO$32=2</formula>
    </cfRule>
  </conditionalFormatting>
  <conditionalFormatting sqref="EO32:EO33">
    <cfRule type="expression" dxfId="1753" priority="20740" stopIfTrue="1">
      <formula>NOT(AND(SUM($EO$32:$EO$33) &lt;= 3,AND(NOT($EO$32&lt;0),NOT($EO$33&lt;0)),NOT(AND($EO$32=0,$EO$33=3)),NOT(AND($EO$32=3,$EO$33=0))))</formula>
    </cfRule>
  </conditionalFormatting>
  <conditionalFormatting sqref="ES32:ES33">
    <cfRule type="cellIs" dxfId="1752" priority="20743" stopIfTrue="1" operator="equal">
      <formula>2</formula>
    </cfRule>
  </conditionalFormatting>
  <conditionalFormatting sqref="ES32">
    <cfRule type="expression" dxfId="1751" priority="20742" stopIfTrue="1">
      <formula>$ES$33=2</formula>
    </cfRule>
  </conditionalFormatting>
  <conditionalFormatting sqref="ES33">
    <cfRule type="expression" dxfId="1750" priority="20741" stopIfTrue="1">
      <formula>$ES$32=2</formula>
    </cfRule>
  </conditionalFormatting>
  <conditionalFormatting sqref="ES32:ES33">
    <cfRule type="expression" dxfId="1749" priority="20736" stopIfTrue="1">
      <formula>NOT(AND(SUM($ES$32:$ES$33) &lt;= 3,AND(NOT($ES$32&lt;0),NOT($ES$33&lt;0)),NOT(AND($ES$32=0,$ES$33=3)),NOT(AND($ES$32=3,$ES$33=0))))</formula>
    </cfRule>
  </conditionalFormatting>
  <conditionalFormatting sqref="EW32:EW33">
    <cfRule type="cellIs" dxfId="1748" priority="20739" stopIfTrue="1" operator="equal">
      <formula>2</formula>
    </cfRule>
  </conditionalFormatting>
  <conditionalFormatting sqref="EW32">
    <cfRule type="expression" dxfId="1747" priority="20738" stopIfTrue="1">
      <formula>$EW$33=2</formula>
    </cfRule>
  </conditionalFormatting>
  <conditionalFormatting sqref="EW33">
    <cfRule type="expression" dxfId="1746" priority="20737" stopIfTrue="1">
      <formula>$EW$32=2</formula>
    </cfRule>
  </conditionalFormatting>
  <conditionalFormatting sqref="EW32:EW33">
    <cfRule type="expression" dxfId="1745" priority="20732" stopIfTrue="1">
      <formula>NOT(AND(SUM($EW$32:$EW$33) &lt;= 3,AND(NOT($EW$32&lt;0),NOT($EW$33&lt;0)),NOT(AND($EW$32=0,$EW$33=3)),NOT(AND($EW$32=3,$EW$33=0))))</formula>
    </cfRule>
  </conditionalFormatting>
  <conditionalFormatting sqref="FA32:FA33">
    <cfRule type="cellIs" dxfId="1744" priority="20735" stopIfTrue="1" operator="equal">
      <formula>2</formula>
    </cfRule>
  </conditionalFormatting>
  <conditionalFormatting sqref="FA32">
    <cfRule type="expression" dxfId="1743" priority="20734" stopIfTrue="1">
      <formula>$FA$33=2</formula>
    </cfRule>
  </conditionalFormatting>
  <conditionalFormatting sqref="FA33">
    <cfRule type="expression" dxfId="1742" priority="20733" stopIfTrue="1">
      <formula>$FA$32=2</formula>
    </cfRule>
  </conditionalFormatting>
  <conditionalFormatting sqref="FA32:FA33">
    <cfRule type="expression" dxfId="1741" priority="20728" stopIfTrue="1">
      <formula>NOT(AND(SUM($FA$32:$FA$33) &lt;= 3,AND(NOT($FA$32&lt;0),NOT($FA$33&lt;0)),NOT(AND($FA$32=0,$FA$33=3)),NOT(AND($FA$32=3,$FA$33=0))))</formula>
    </cfRule>
  </conditionalFormatting>
  <conditionalFormatting sqref="FE32:FE33">
    <cfRule type="cellIs" dxfId="1740" priority="20731" stopIfTrue="1" operator="equal">
      <formula>2</formula>
    </cfRule>
  </conditionalFormatting>
  <conditionalFormatting sqref="FE32">
    <cfRule type="expression" dxfId="1739" priority="20730" stopIfTrue="1">
      <formula>$FE$33=2</formula>
    </cfRule>
  </conditionalFormatting>
  <conditionalFormatting sqref="FE33">
    <cfRule type="expression" dxfId="1738" priority="20729" stopIfTrue="1">
      <formula>$FE$32=2</formula>
    </cfRule>
  </conditionalFormatting>
  <conditionalFormatting sqref="FE32:FE33">
    <cfRule type="expression" dxfId="1737" priority="20724" stopIfTrue="1">
      <formula>NOT(AND(SUM($FE$32:$FE$33) &lt;= 3,AND(NOT($FE$32&lt;0),NOT($FE$33&lt;0)),NOT(AND($FE$32=0,$FE$33=3)),NOT(AND($FE$32=3,$FE$33=0))))</formula>
    </cfRule>
  </conditionalFormatting>
  <conditionalFormatting sqref="FI32:FI33">
    <cfRule type="cellIs" dxfId="1736" priority="20727" stopIfTrue="1" operator="equal">
      <formula>2</formula>
    </cfRule>
  </conditionalFormatting>
  <conditionalFormatting sqref="FI32">
    <cfRule type="expression" dxfId="1735" priority="20726" stopIfTrue="1">
      <formula>$FI$33=2</formula>
    </cfRule>
  </conditionalFormatting>
  <conditionalFormatting sqref="FI33">
    <cfRule type="expression" dxfId="1734" priority="20725" stopIfTrue="1">
      <formula>$FI$32=2</formula>
    </cfRule>
  </conditionalFormatting>
  <conditionalFormatting sqref="FI32:FI33">
    <cfRule type="expression" dxfId="1733" priority="20720" stopIfTrue="1">
      <formula>NOT(AND(SUM($FI$32:$FI$33) &lt;= 3,AND(NOT($FI$32&lt;0),NOT($FI$33&lt;0)),NOT(AND($FI$32=0,$FI$33=3)),NOT(AND($FI$32=3,$FI$33=0))))</formula>
    </cfRule>
  </conditionalFormatting>
  <conditionalFormatting sqref="FM32:FM33">
    <cfRule type="cellIs" dxfId="1732" priority="20723" stopIfTrue="1" operator="equal">
      <formula>2</formula>
    </cfRule>
  </conditionalFormatting>
  <conditionalFormatting sqref="FM32">
    <cfRule type="expression" dxfId="1731" priority="20722" stopIfTrue="1">
      <formula>$FM$33=2</formula>
    </cfRule>
  </conditionalFormatting>
  <conditionalFormatting sqref="FM33">
    <cfRule type="expression" dxfId="1730" priority="20721" stopIfTrue="1">
      <formula>$FM$32=2</formula>
    </cfRule>
  </conditionalFormatting>
  <conditionalFormatting sqref="FM32:FM33">
    <cfRule type="expression" dxfId="1729" priority="20716" stopIfTrue="1">
      <formula>NOT(AND(SUM($FM$32:$FM$33) &lt;= 3,AND(NOT($FM$32&lt;0),NOT($FM$33&lt;0)),NOT(AND($FM$32=0,$FM$33=3)),NOT(AND($FM$32=3,$FM$33=0))))</formula>
    </cfRule>
  </conditionalFormatting>
  <conditionalFormatting sqref="DY36:DY37">
    <cfRule type="cellIs" dxfId="1728" priority="20683" stopIfTrue="1" operator="equal">
      <formula>2</formula>
    </cfRule>
  </conditionalFormatting>
  <conditionalFormatting sqref="DY36">
    <cfRule type="expression" dxfId="1727" priority="20682" stopIfTrue="1">
      <formula>$DY$37=2</formula>
    </cfRule>
  </conditionalFormatting>
  <conditionalFormatting sqref="DY37">
    <cfRule type="expression" dxfId="1726" priority="20681" stopIfTrue="1">
      <formula>$DY$36=2</formula>
    </cfRule>
  </conditionalFormatting>
  <conditionalFormatting sqref="DY36:DY37">
    <cfRule type="expression" dxfId="1725" priority="20676" stopIfTrue="1">
      <formula>NOT(AND(SUM($DY$36:$DY$37) &lt;= 3,AND(NOT($DY$36&lt;0),NOT($DY$37&lt;0)),NOT(AND($DY$36=0,$DY$37=3)),NOT(AND($DY$36=3,$DY$37=0))))</formula>
    </cfRule>
  </conditionalFormatting>
  <conditionalFormatting sqref="EC36:EC37">
    <cfRule type="cellIs" dxfId="1724" priority="20679" stopIfTrue="1" operator="equal">
      <formula>2</formula>
    </cfRule>
  </conditionalFormatting>
  <conditionalFormatting sqref="EC36">
    <cfRule type="expression" dxfId="1723" priority="20678" stopIfTrue="1">
      <formula>$EC$37=2</formula>
    </cfRule>
  </conditionalFormatting>
  <conditionalFormatting sqref="EC37">
    <cfRule type="expression" dxfId="1722" priority="20677" stopIfTrue="1">
      <formula>$EC$36=2</formula>
    </cfRule>
  </conditionalFormatting>
  <conditionalFormatting sqref="EC36:EC37">
    <cfRule type="expression" dxfId="1721" priority="20672" stopIfTrue="1">
      <formula>NOT(AND(SUM($EC$36:$EC$37) &lt;= 3,AND(NOT($EC$36&lt;0),NOT($EC$37&lt;0)),NOT(AND($EC$36=0,$EC$37=3)),NOT(AND($EC$36=3,$EC$37=0))))</formula>
    </cfRule>
  </conditionalFormatting>
  <conditionalFormatting sqref="EG36:EG37">
    <cfRule type="cellIs" dxfId="1720" priority="20675" stopIfTrue="1" operator="equal">
      <formula>2</formula>
    </cfRule>
  </conditionalFormatting>
  <conditionalFormatting sqref="EG36">
    <cfRule type="expression" dxfId="1719" priority="20674" stopIfTrue="1">
      <formula>$EG$37=2</formula>
    </cfRule>
  </conditionalFormatting>
  <conditionalFormatting sqref="EG37">
    <cfRule type="expression" dxfId="1718" priority="20673" stopIfTrue="1">
      <formula>$EG$36=2</formula>
    </cfRule>
  </conditionalFormatting>
  <conditionalFormatting sqref="EG36:EG37">
    <cfRule type="expression" dxfId="1717" priority="20668" stopIfTrue="1">
      <formula>NOT(AND(SUM($EG$36:$EG$37) &lt;= 3,AND(NOT($EG$36&lt;0),NOT($EG$37&lt;0)),NOT(AND($EG$36=0,$EG$37=3)),NOT(AND($EG$36=3,$EG$37=0))))</formula>
    </cfRule>
  </conditionalFormatting>
  <conditionalFormatting sqref="EK36:EK37">
    <cfRule type="cellIs" dxfId="1716" priority="20671" stopIfTrue="1" operator="equal">
      <formula>2</formula>
    </cfRule>
  </conditionalFormatting>
  <conditionalFormatting sqref="EK36">
    <cfRule type="expression" dxfId="1715" priority="20670" stopIfTrue="1">
      <formula>$EK$37=2</formula>
    </cfRule>
  </conditionalFormatting>
  <conditionalFormatting sqref="EK37">
    <cfRule type="expression" dxfId="1714" priority="20669" stopIfTrue="1">
      <formula>$EK$36=2</formula>
    </cfRule>
  </conditionalFormatting>
  <conditionalFormatting sqref="EK36:EK37">
    <cfRule type="expression" dxfId="1713" priority="20664" stopIfTrue="1">
      <formula>NOT(AND(SUM($EK$36:$EK$37) &lt;= 3,AND(NOT($EK$36&lt;0),NOT($EK$37&lt;0)),NOT(AND($EK$36=0,$EK$37=3)),NOT(AND($EK$36=3,$EK$37=0))))</formula>
    </cfRule>
  </conditionalFormatting>
  <conditionalFormatting sqref="EO36:EO37">
    <cfRule type="cellIs" dxfId="1712" priority="20667" stopIfTrue="1" operator="equal">
      <formula>2</formula>
    </cfRule>
  </conditionalFormatting>
  <conditionalFormatting sqref="EO36">
    <cfRule type="expression" dxfId="1711" priority="20666" stopIfTrue="1">
      <formula>$EO$37=2</formula>
    </cfRule>
  </conditionalFormatting>
  <conditionalFormatting sqref="EO37">
    <cfRule type="expression" dxfId="1710" priority="20665" stopIfTrue="1">
      <formula>$EO$36=2</formula>
    </cfRule>
  </conditionalFormatting>
  <conditionalFormatting sqref="EO36:EO37">
    <cfRule type="expression" dxfId="1709" priority="20660" stopIfTrue="1">
      <formula>NOT(AND(SUM($EO$36:$EO$37) &lt;= 3,AND(NOT($EO$36&lt;0),NOT($EO$37&lt;0)),NOT(AND($EO$36=0,$EO$37=3)),NOT(AND($EO$36=3,$EO$37=0))))</formula>
    </cfRule>
  </conditionalFormatting>
  <conditionalFormatting sqref="ES36:ES37">
    <cfRule type="cellIs" dxfId="1708" priority="20663" stopIfTrue="1" operator="equal">
      <formula>2</formula>
    </cfRule>
  </conditionalFormatting>
  <conditionalFormatting sqref="ES36">
    <cfRule type="expression" dxfId="1707" priority="20662" stopIfTrue="1">
      <formula>$ES$37=2</formula>
    </cfRule>
  </conditionalFormatting>
  <conditionalFormatting sqref="ES37">
    <cfRule type="expression" dxfId="1706" priority="20661" stopIfTrue="1">
      <formula>$ES$36=2</formula>
    </cfRule>
  </conditionalFormatting>
  <conditionalFormatting sqref="ES36:ES37">
    <cfRule type="expression" dxfId="1705" priority="20656" stopIfTrue="1">
      <formula>NOT(AND(SUM($ES$36:$ES$37) &lt;= 3,AND(NOT($ES$36&lt;0),NOT($ES$37&lt;0)),NOT(AND($ES$36=0,$ES$37=3)),NOT(AND($ES$36=3,$ES$37=0))))</formula>
    </cfRule>
  </conditionalFormatting>
  <conditionalFormatting sqref="EW36:EW37">
    <cfRule type="cellIs" dxfId="1704" priority="20659" stopIfTrue="1" operator="equal">
      <formula>2</formula>
    </cfRule>
  </conditionalFormatting>
  <conditionalFormatting sqref="EW36">
    <cfRule type="expression" dxfId="1703" priority="20658" stopIfTrue="1">
      <formula>$EW$37=2</formula>
    </cfRule>
  </conditionalFormatting>
  <conditionalFormatting sqref="EW37">
    <cfRule type="expression" dxfId="1702" priority="20657" stopIfTrue="1">
      <formula>$EW$36=2</formula>
    </cfRule>
  </conditionalFormatting>
  <conditionalFormatting sqref="EW36:EW37">
    <cfRule type="expression" dxfId="1701" priority="20652" stopIfTrue="1">
      <formula>NOT(AND(SUM($EW$36:$EW$37) &lt;= 3,AND(NOT($EW$36&lt;0),NOT($EW$37&lt;0)),NOT(AND($EW$36=0,$EW$37=3)),NOT(AND($EW$36=3,$EW$37=0))))</formula>
    </cfRule>
  </conditionalFormatting>
  <conditionalFormatting sqref="FA36:FA37">
    <cfRule type="cellIs" dxfId="1700" priority="20655" stopIfTrue="1" operator="equal">
      <formula>2</formula>
    </cfRule>
  </conditionalFormatting>
  <conditionalFormatting sqref="FA36">
    <cfRule type="expression" dxfId="1699" priority="20654" stopIfTrue="1">
      <formula>$FA$37=2</formula>
    </cfRule>
  </conditionalFormatting>
  <conditionalFormatting sqref="FA37">
    <cfRule type="expression" dxfId="1698" priority="20653" stopIfTrue="1">
      <formula>$FA$36=2</formula>
    </cfRule>
  </conditionalFormatting>
  <conditionalFormatting sqref="FA36:FA37">
    <cfRule type="expression" dxfId="1697" priority="20648" stopIfTrue="1">
      <formula>NOT(AND(SUM($FA$36:$FA$37) &lt;= 3,AND(NOT($FA$36&lt;0),NOT($FA$37&lt;0)),NOT(AND($FA$36=0,$FA$37=3)),NOT(AND($FA$36=3,$FA$37=0))))</formula>
    </cfRule>
  </conditionalFormatting>
  <conditionalFormatting sqref="FE36:FE37">
    <cfRule type="cellIs" dxfId="1696" priority="20651" stopIfTrue="1" operator="equal">
      <formula>2</formula>
    </cfRule>
  </conditionalFormatting>
  <conditionalFormatting sqref="FE36">
    <cfRule type="expression" dxfId="1695" priority="20650" stopIfTrue="1">
      <formula>$FE$37=2</formula>
    </cfRule>
  </conditionalFormatting>
  <conditionalFormatting sqref="FE37">
    <cfRule type="expression" dxfId="1694" priority="20649" stopIfTrue="1">
      <formula>$FE$36=2</formula>
    </cfRule>
  </conditionalFormatting>
  <conditionalFormatting sqref="FE36:FE37">
    <cfRule type="expression" dxfId="1693" priority="20644" stopIfTrue="1">
      <formula>NOT(AND(SUM($FE$36:$FE$37) &lt;= 3,AND(NOT($FE$36&lt;0),NOT($FE$37&lt;0)),NOT(AND($FE$36=0,$FE$37=3)),NOT(AND($FE$36=3,$FE$37=0))))</formula>
    </cfRule>
  </conditionalFormatting>
  <conditionalFormatting sqref="FI36:FI37">
    <cfRule type="cellIs" dxfId="1692" priority="20647" stopIfTrue="1" operator="equal">
      <formula>2</formula>
    </cfRule>
  </conditionalFormatting>
  <conditionalFormatting sqref="FI36">
    <cfRule type="expression" dxfId="1691" priority="20646" stopIfTrue="1">
      <formula>$FI$37=2</formula>
    </cfRule>
  </conditionalFormatting>
  <conditionalFormatting sqref="FI37">
    <cfRule type="expression" dxfId="1690" priority="20645" stopIfTrue="1">
      <formula>$FI$36=2</formula>
    </cfRule>
  </conditionalFormatting>
  <conditionalFormatting sqref="FI36:FI37">
    <cfRule type="expression" dxfId="1689" priority="20640" stopIfTrue="1">
      <formula>NOT(AND(SUM($FI$36:$FI$37) &lt;= 3,AND(NOT($FI$36&lt;0),NOT($FI$37&lt;0)),NOT(AND($FI$36=0,$FI$37=3)),NOT(AND($FI$36=3,$FI$37=0))))</formula>
    </cfRule>
  </conditionalFormatting>
  <conditionalFormatting sqref="FM36:FM37">
    <cfRule type="cellIs" dxfId="1688" priority="20643" stopIfTrue="1" operator="equal">
      <formula>2</formula>
    </cfRule>
  </conditionalFormatting>
  <conditionalFormatting sqref="FM36">
    <cfRule type="expression" dxfId="1687" priority="20642" stopIfTrue="1">
      <formula>$FM$37=2</formula>
    </cfRule>
  </conditionalFormatting>
  <conditionalFormatting sqref="FM37">
    <cfRule type="expression" dxfId="1686" priority="20641" stopIfTrue="1">
      <formula>$FM$36=2</formula>
    </cfRule>
  </conditionalFormatting>
  <conditionalFormatting sqref="FM36:FM37">
    <cfRule type="expression" dxfId="1685" priority="20636" stopIfTrue="1">
      <formula>NOT(AND(SUM($FM$36:$FM$37) &lt;= 3,AND(NOT($FM$36&lt;0),NOT($FM$37&lt;0)),NOT(AND($FM$36=0,$FM$37=3)),NOT(AND($FM$36=3,$FM$37=0))))</formula>
    </cfRule>
  </conditionalFormatting>
  <conditionalFormatting sqref="DY40:DY41">
    <cfRule type="cellIs" dxfId="1684" priority="20603" stopIfTrue="1" operator="equal">
      <formula>2</formula>
    </cfRule>
  </conditionalFormatting>
  <conditionalFormatting sqref="DY40">
    <cfRule type="expression" dxfId="1683" priority="20602" stopIfTrue="1">
      <formula>$DY$41=2</formula>
    </cfRule>
  </conditionalFormatting>
  <conditionalFormatting sqref="DY41">
    <cfRule type="expression" dxfId="1682" priority="20601" stopIfTrue="1">
      <formula>$DY$40=2</formula>
    </cfRule>
  </conditionalFormatting>
  <conditionalFormatting sqref="DY40:DY41">
    <cfRule type="expression" dxfId="1681" priority="20596" stopIfTrue="1">
      <formula>NOT(AND(SUM($DY$40:$DY$41) &lt;= 3,AND(NOT($DY$40&lt;0),NOT($DY$41&lt;0)),NOT(AND($DY$40=0,$DY$41=3)),NOT(AND($DY$40=3,$DY$41=0))))</formula>
    </cfRule>
  </conditionalFormatting>
  <conditionalFormatting sqref="EC40:EC41">
    <cfRule type="cellIs" dxfId="1680" priority="20599" stopIfTrue="1" operator="equal">
      <formula>2</formula>
    </cfRule>
  </conditionalFormatting>
  <conditionalFormatting sqref="EC40">
    <cfRule type="expression" dxfId="1679" priority="20598" stopIfTrue="1">
      <formula>$EC$41=2</formula>
    </cfRule>
  </conditionalFormatting>
  <conditionalFormatting sqref="EC41">
    <cfRule type="expression" dxfId="1678" priority="20597" stopIfTrue="1">
      <formula>$EC$40=2</formula>
    </cfRule>
  </conditionalFormatting>
  <conditionalFormatting sqref="EC40:EC41">
    <cfRule type="expression" dxfId="1677" priority="20592" stopIfTrue="1">
      <formula>NOT(AND(SUM($EC$40:$EC$41) &lt;= 3,AND(NOT($EC$40&lt;0),NOT($EC$41&lt;0)),NOT(AND($EC$40=0,$EC$41=3)),NOT(AND($EC$40=3,$EC$41=0))))</formula>
    </cfRule>
  </conditionalFormatting>
  <conditionalFormatting sqref="EG40:EG41">
    <cfRule type="cellIs" dxfId="1676" priority="20595" stopIfTrue="1" operator="equal">
      <formula>2</formula>
    </cfRule>
  </conditionalFormatting>
  <conditionalFormatting sqref="EG40">
    <cfRule type="expression" dxfId="1675" priority="20594" stopIfTrue="1">
      <formula>$EG$41=2</formula>
    </cfRule>
  </conditionalFormatting>
  <conditionalFormatting sqref="EG41">
    <cfRule type="expression" dxfId="1674" priority="20593" stopIfTrue="1">
      <formula>$EG$40=2</formula>
    </cfRule>
  </conditionalFormatting>
  <conditionalFormatting sqref="EG40:EG41">
    <cfRule type="expression" dxfId="1673" priority="20588" stopIfTrue="1">
      <formula>NOT(AND(SUM($EG$40:$EG$41) &lt;= 3,AND(NOT($EG$40&lt;0),NOT($EG$41&lt;0)),NOT(AND($EG$40=0,$EG$41=3)),NOT(AND($EG$40=3,$EG$41=0))))</formula>
    </cfRule>
  </conditionalFormatting>
  <conditionalFormatting sqref="EK40:EK41">
    <cfRule type="cellIs" dxfId="1672" priority="20591" stopIfTrue="1" operator="equal">
      <formula>2</formula>
    </cfRule>
  </conditionalFormatting>
  <conditionalFormatting sqref="EK40">
    <cfRule type="expression" dxfId="1671" priority="20590" stopIfTrue="1">
      <formula>$EK$41=2</formula>
    </cfRule>
  </conditionalFormatting>
  <conditionalFormatting sqref="EK41">
    <cfRule type="expression" dxfId="1670" priority="20589" stopIfTrue="1">
      <formula>$EK$40=2</formula>
    </cfRule>
  </conditionalFormatting>
  <conditionalFormatting sqref="EK40:EK41">
    <cfRule type="expression" dxfId="1669" priority="20584" stopIfTrue="1">
      <formula>NOT(AND(SUM($EK$40:$EK$41) &lt;= 3,AND(NOT($EK$40&lt;0),NOT($EK$41&lt;0)),NOT(AND($EK$40=0,$EK$41=3)),NOT(AND($EK$40=3,$EK$41=0))))</formula>
    </cfRule>
  </conditionalFormatting>
  <conditionalFormatting sqref="EO40:EO41">
    <cfRule type="cellIs" dxfId="1668" priority="20587" stopIfTrue="1" operator="equal">
      <formula>2</formula>
    </cfRule>
  </conditionalFormatting>
  <conditionalFormatting sqref="EO40">
    <cfRule type="expression" dxfId="1667" priority="20586" stopIfTrue="1">
      <formula>$EO$41=2</formula>
    </cfRule>
  </conditionalFormatting>
  <conditionalFormatting sqref="EO41">
    <cfRule type="expression" dxfId="1666" priority="20585" stopIfTrue="1">
      <formula>$EO$40=2</formula>
    </cfRule>
  </conditionalFormatting>
  <conditionalFormatting sqref="EO40:EO41">
    <cfRule type="expression" dxfId="1665" priority="20580" stopIfTrue="1">
      <formula>NOT(AND(SUM($EO$40:$EO$41) &lt;= 3,AND(NOT($EO$40&lt;0),NOT($EO$41&lt;0)),NOT(AND($EO$40=0,$EO$41=3)),NOT(AND($EO$40=3,$EO$41=0))))</formula>
    </cfRule>
  </conditionalFormatting>
  <conditionalFormatting sqref="ES40:ES41">
    <cfRule type="cellIs" dxfId="1664" priority="20583" stopIfTrue="1" operator="equal">
      <formula>2</formula>
    </cfRule>
  </conditionalFormatting>
  <conditionalFormatting sqref="ES40">
    <cfRule type="expression" dxfId="1663" priority="20582" stopIfTrue="1">
      <formula>$ES$41=2</formula>
    </cfRule>
  </conditionalFormatting>
  <conditionalFormatting sqref="ES41">
    <cfRule type="expression" dxfId="1662" priority="20581" stopIfTrue="1">
      <formula>$ES$40=2</formula>
    </cfRule>
  </conditionalFormatting>
  <conditionalFormatting sqref="ES40:ES41">
    <cfRule type="expression" dxfId="1661" priority="20576" stopIfTrue="1">
      <formula>NOT(AND(SUM($ES$40:$ES$41) &lt;= 3,AND(NOT($ES$40&lt;0),NOT($ES$41&lt;0)),NOT(AND($ES$40=0,$ES$41=3)),NOT(AND($ES$40=3,$ES$41=0))))</formula>
    </cfRule>
  </conditionalFormatting>
  <conditionalFormatting sqref="EW40:EW41">
    <cfRule type="cellIs" dxfId="1660" priority="20579" stopIfTrue="1" operator="equal">
      <formula>2</formula>
    </cfRule>
  </conditionalFormatting>
  <conditionalFormatting sqref="EW40">
    <cfRule type="expression" dxfId="1659" priority="20578" stopIfTrue="1">
      <formula>$EW$41=2</formula>
    </cfRule>
  </conditionalFormatting>
  <conditionalFormatting sqref="EW41">
    <cfRule type="expression" dxfId="1658" priority="20577" stopIfTrue="1">
      <formula>$EW$40=2</formula>
    </cfRule>
  </conditionalFormatting>
  <conditionalFormatting sqref="EW40:EW41">
    <cfRule type="expression" dxfId="1657" priority="20572" stopIfTrue="1">
      <formula>NOT(AND(SUM($EW$40:$EW$41) &lt;= 3,AND(NOT($EW$40&lt;0),NOT($EW$41&lt;0)),NOT(AND($EW$40=0,$EW$41=3)),NOT(AND($EW$40=3,$EW$41=0))))</formula>
    </cfRule>
  </conditionalFormatting>
  <conditionalFormatting sqref="FA40:FA41">
    <cfRule type="cellIs" dxfId="1656" priority="20575" stopIfTrue="1" operator="equal">
      <formula>2</formula>
    </cfRule>
  </conditionalFormatting>
  <conditionalFormatting sqref="FA40">
    <cfRule type="expression" dxfId="1655" priority="20574" stopIfTrue="1">
      <formula>$FA$41=2</formula>
    </cfRule>
  </conditionalFormatting>
  <conditionalFormatting sqref="FA41">
    <cfRule type="expression" dxfId="1654" priority="20573" stopIfTrue="1">
      <formula>$FA$40=2</formula>
    </cfRule>
  </conditionalFormatting>
  <conditionalFormatting sqref="FA40:FA41">
    <cfRule type="expression" dxfId="1653" priority="20568" stopIfTrue="1">
      <formula>NOT(AND(SUM($FA$40:$FA$41) &lt;= 3,AND(NOT($FA$40&lt;0),NOT($FA$41&lt;0)),NOT(AND($FA$40=0,$FA$41=3)),NOT(AND($FA$40=3,$FA$41=0))))</formula>
    </cfRule>
  </conditionalFormatting>
  <conditionalFormatting sqref="FE40:FE41">
    <cfRule type="cellIs" dxfId="1652" priority="20571" stopIfTrue="1" operator="equal">
      <formula>2</formula>
    </cfRule>
  </conditionalFormatting>
  <conditionalFormatting sqref="FE40">
    <cfRule type="expression" dxfId="1651" priority="20570" stopIfTrue="1">
      <formula>$FE$41=2</formula>
    </cfRule>
  </conditionalFormatting>
  <conditionalFormatting sqref="FE41">
    <cfRule type="expression" dxfId="1650" priority="20569" stopIfTrue="1">
      <formula>$FE$40=2</formula>
    </cfRule>
  </conditionalFormatting>
  <conditionalFormatting sqref="FE40:FE41">
    <cfRule type="expression" dxfId="1649" priority="20564" stopIfTrue="1">
      <formula>NOT(AND(SUM($FE$40:$FE$41) &lt;= 3,AND(NOT($FE$40&lt;0),NOT($FE$41&lt;0)),NOT(AND($FE$40=0,$FE$41=3)),NOT(AND($FE$40=3,$FE$41=0))))</formula>
    </cfRule>
  </conditionalFormatting>
  <conditionalFormatting sqref="FI40:FI41">
    <cfRule type="cellIs" dxfId="1648" priority="20567" stopIfTrue="1" operator="equal">
      <formula>2</formula>
    </cfRule>
  </conditionalFormatting>
  <conditionalFormatting sqref="FI40">
    <cfRule type="expression" dxfId="1647" priority="20566" stopIfTrue="1">
      <formula>$FI$41=2</formula>
    </cfRule>
  </conditionalFormatting>
  <conditionalFormatting sqref="FI41">
    <cfRule type="expression" dxfId="1646" priority="20565" stopIfTrue="1">
      <formula>$FI$40=2</formula>
    </cfRule>
  </conditionalFormatting>
  <conditionalFormatting sqref="FI40:FI41">
    <cfRule type="expression" dxfId="1645" priority="20560" stopIfTrue="1">
      <formula>NOT(AND(SUM($FI$40:$FI$41) &lt;= 3,AND(NOT($FI$40&lt;0),NOT($FI$41&lt;0)),NOT(AND($FI$40=0,$FI$41=3)),NOT(AND($FI$40=3,$FI$41=0))))</formula>
    </cfRule>
  </conditionalFormatting>
  <conditionalFormatting sqref="FM40:FM41">
    <cfRule type="cellIs" dxfId="1644" priority="20563" stopIfTrue="1" operator="equal">
      <formula>2</formula>
    </cfRule>
  </conditionalFormatting>
  <conditionalFormatting sqref="FM40">
    <cfRule type="expression" dxfId="1643" priority="20562" stopIfTrue="1">
      <formula>$FM$41=2</formula>
    </cfRule>
  </conditionalFormatting>
  <conditionalFormatting sqref="FM41">
    <cfRule type="expression" dxfId="1642" priority="20561" stopIfTrue="1">
      <formula>$FM$40=2</formula>
    </cfRule>
  </conditionalFormatting>
  <conditionalFormatting sqref="FM40:FM41">
    <cfRule type="expression" dxfId="1641" priority="20556" stopIfTrue="1">
      <formula>NOT(AND(SUM($FM$40:$FM$41) &lt;= 3,AND(NOT($FM$40&lt;0),NOT($FM$41&lt;0)),NOT(AND($FM$40=0,$FM$41=3)),NOT(AND($FM$40=3,$FM$41=0))))</formula>
    </cfRule>
  </conditionalFormatting>
  <conditionalFormatting sqref="DY44:DY45">
    <cfRule type="cellIs" dxfId="1640" priority="20523" stopIfTrue="1" operator="equal">
      <formula>2</formula>
    </cfRule>
  </conditionalFormatting>
  <conditionalFormatting sqref="DY44">
    <cfRule type="expression" dxfId="1639" priority="20522" stopIfTrue="1">
      <formula>$DY$45=2</formula>
    </cfRule>
  </conditionalFormatting>
  <conditionalFormatting sqref="DY45">
    <cfRule type="expression" dxfId="1638" priority="20521" stopIfTrue="1">
      <formula>$DY$44=2</formula>
    </cfRule>
  </conditionalFormatting>
  <conditionalFormatting sqref="DY44:DY45">
    <cfRule type="expression" dxfId="1637" priority="20516" stopIfTrue="1">
      <formula>NOT(AND(SUM($DY$44:$DY$45) &lt;= 3,AND(NOT($DY$44&lt;0),NOT($DY$45&lt;0)),NOT(AND($DY$44=0,$DY$45=3)),NOT(AND($DY$44=3,$DY$45=0))))</formula>
    </cfRule>
  </conditionalFormatting>
  <conditionalFormatting sqref="EC44:EC45">
    <cfRule type="cellIs" dxfId="1636" priority="20519" stopIfTrue="1" operator="equal">
      <formula>2</formula>
    </cfRule>
  </conditionalFormatting>
  <conditionalFormatting sqref="EC44">
    <cfRule type="expression" dxfId="1635" priority="20518" stopIfTrue="1">
      <formula>$EC$45=2</formula>
    </cfRule>
  </conditionalFormatting>
  <conditionalFormatting sqref="EC45">
    <cfRule type="expression" dxfId="1634" priority="20517" stopIfTrue="1">
      <formula>$EC$44=2</formula>
    </cfRule>
  </conditionalFormatting>
  <conditionalFormatting sqref="EC44:EC45">
    <cfRule type="expression" dxfId="1633" priority="20512" stopIfTrue="1">
      <formula>NOT(AND(SUM($EC$44:$EC$45) &lt;= 3,AND(NOT($EC$44&lt;0),NOT($EC$45&lt;0)),NOT(AND($EC$44=0,$EC$45=3)),NOT(AND($EC$44=3,$EC$45=0))))</formula>
    </cfRule>
  </conditionalFormatting>
  <conditionalFormatting sqref="EG44:EG45">
    <cfRule type="cellIs" dxfId="1632" priority="20515" stopIfTrue="1" operator="equal">
      <formula>2</formula>
    </cfRule>
  </conditionalFormatting>
  <conditionalFormatting sqref="EG44">
    <cfRule type="expression" dxfId="1631" priority="20514" stopIfTrue="1">
      <formula>$EG$45=2</formula>
    </cfRule>
  </conditionalFormatting>
  <conditionalFormatting sqref="EG45">
    <cfRule type="expression" dxfId="1630" priority="20513" stopIfTrue="1">
      <formula>$EG$44=2</formula>
    </cfRule>
  </conditionalFormatting>
  <conditionalFormatting sqref="EG44:EG45">
    <cfRule type="expression" dxfId="1629" priority="20508" stopIfTrue="1">
      <formula>NOT(AND(SUM($EG$44:$EG$45) &lt;= 3,AND(NOT($EG$44&lt;0),NOT($EG$45&lt;0)),NOT(AND($EG$44=0,$EG$45=3)),NOT(AND($EG$44=3,$EG$45=0))))</formula>
    </cfRule>
  </conditionalFormatting>
  <conditionalFormatting sqref="EK44:EK45">
    <cfRule type="cellIs" dxfId="1628" priority="20511" stopIfTrue="1" operator="equal">
      <formula>2</formula>
    </cfRule>
  </conditionalFormatting>
  <conditionalFormatting sqref="EK44">
    <cfRule type="expression" dxfId="1627" priority="20510" stopIfTrue="1">
      <formula>$EK$45=2</formula>
    </cfRule>
  </conditionalFormatting>
  <conditionalFormatting sqref="EK45">
    <cfRule type="expression" dxfId="1626" priority="20509" stopIfTrue="1">
      <formula>$EK$44=2</formula>
    </cfRule>
  </conditionalFormatting>
  <conditionalFormatting sqref="EK44:EK45">
    <cfRule type="expression" dxfId="1625" priority="20504" stopIfTrue="1">
      <formula>NOT(AND(SUM($EK$44:$EK$45) &lt;= 3,AND(NOT($EK$44&lt;0),NOT($EK$45&lt;0)),NOT(AND($EK$44=0,$EK$45=3)),NOT(AND($EK$44=3,$EK$45=0))))</formula>
    </cfRule>
  </conditionalFormatting>
  <conditionalFormatting sqref="EO44:EO45">
    <cfRule type="cellIs" dxfId="1624" priority="20507" stopIfTrue="1" operator="equal">
      <formula>2</formula>
    </cfRule>
  </conditionalFormatting>
  <conditionalFormatting sqref="EO44">
    <cfRule type="expression" dxfId="1623" priority="20506" stopIfTrue="1">
      <formula>$EO$45=2</formula>
    </cfRule>
  </conditionalFormatting>
  <conditionalFormatting sqref="EO45">
    <cfRule type="expression" dxfId="1622" priority="20505" stopIfTrue="1">
      <formula>$EO$44=2</formula>
    </cfRule>
  </conditionalFormatting>
  <conditionalFormatting sqref="EO44:EO45">
    <cfRule type="expression" dxfId="1621" priority="20500" stopIfTrue="1">
      <formula>NOT(AND(SUM($EO$44:$EO$45) &lt;= 3,AND(NOT($EO$44&lt;0),NOT($EO$45&lt;0)),NOT(AND($EO$44=0,$EO$45=3)),NOT(AND($EO$44=3,$EO$45=0))))</formula>
    </cfRule>
  </conditionalFormatting>
  <conditionalFormatting sqref="ES44:ES45">
    <cfRule type="cellIs" dxfId="1620" priority="20503" stopIfTrue="1" operator="equal">
      <formula>2</formula>
    </cfRule>
  </conditionalFormatting>
  <conditionalFormatting sqref="ES44">
    <cfRule type="expression" dxfId="1619" priority="20502" stopIfTrue="1">
      <formula>$ES$45=2</formula>
    </cfRule>
  </conditionalFormatting>
  <conditionalFormatting sqref="ES45">
    <cfRule type="expression" dxfId="1618" priority="20501" stopIfTrue="1">
      <formula>$ES$44=2</formula>
    </cfRule>
  </conditionalFormatting>
  <conditionalFormatting sqref="ES44:ES45">
    <cfRule type="expression" dxfId="1617" priority="20496" stopIfTrue="1">
      <formula>NOT(AND(SUM($ES$44:$ES$45) &lt;= 3,AND(NOT($ES$44&lt;0),NOT($ES$45&lt;0)),NOT(AND($ES$44=0,$ES$45=3)),NOT(AND($ES$44=3,$ES$45=0))))</formula>
    </cfRule>
  </conditionalFormatting>
  <conditionalFormatting sqref="EW44:EW45">
    <cfRule type="cellIs" dxfId="1616" priority="20499" stopIfTrue="1" operator="equal">
      <formula>2</formula>
    </cfRule>
  </conditionalFormatting>
  <conditionalFormatting sqref="EW44">
    <cfRule type="expression" dxfId="1615" priority="20498" stopIfTrue="1">
      <formula>$EW$45=2</formula>
    </cfRule>
  </conditionalFormatting>
  <conditionalFormatting sqref="EW45">
    <cfRule type="expression" dxfId="1614" priority="20497" stopIfTrue="1">
      <formula>$EW$44=2</formula>
    </cfRule>
  </conditionalFormatting>
  <conditionalFormatting sqref="EW44:EW45">
    <cfRule type="expression" dxfId="1613" priority="20492" stopIfTrue="1">
      <formula>NOT(AND(SUM($EW$44:$EW$45) &lt;= 3,AND(NOT($EW$44&lt;0),NOT($EW$45&lt;0)),NOT(AND($EW$44=0,$EW$45=3)),NOT(AND($EW$44=3,$EW$45=0))))</formula>
    </cfRule>
  </conditionalFormatting>
  <conditionalFormatting sqref="FA44:FA45">
    <cfRule type="cellIs" dxfId="1612" priority="20495" stopIfTrue="1" operator="equal">
      <formula>2</formula>
    </cfRule>
  </conditionalFormatting>
  <conditionalFormatting sqref="FA44">
    <cfRule type="expression" dxfId="1611" priority="20494" stopIfTrue="1">
      <formula>$FA$45=2</formula>
    </cfRule>
  </conditionalFormatting>
  <conditionalFormatting sqref="FA45">
    <cfRule type="expression" dxfId="1610" priority="20493" stopIfTrue="1">
      <formula>$FA$44=2</formula>
    </cfRule>
  </conditionalFormatting>
  <conditionalFormatting sqref="FA44:FA45">
    <cfRule type="expression" dxfId="1609" priority="20488" stopIfTrue="1">
      <formula>NOT(AND(SUM($FA$44:$FA$45) &lt;= 3,AND(NOT($FA$44&lt;0),NOT($FA$45&lt;0)),NOT(AND($FA$44=0,$FA$45=3)),NOT(AND($FA$44=3,$FA$45=0))))</formula>
    </cfRule>
  </conditionalFormatting>
  <conditionalFormatting sqref="FE44:FE45">
    <cfRule type="cellIs" dxfId="1608" priority="20491" stopIfTrue="1" operator="equal">
      <formula>2</formula>
    </cfRule>
  </conditionalFormatting>
  <conditionalFormatting sqref="FE44">
    <cfRule type="expression" dxfId="1607" priority="20490" stopIfTrue="1">
      <formula>$FE$45=2</formula>
    </cfRule>
  </conditionalFormatting>
  <conditionalFormatting sqref="FE45">
    <cfRule type="expression" dxfId="1606" priority="20489" stopIfTrue="1">
      <formula>$FE$44=2</formula>
    </cfRule>
  </conditionalFormatting>
  <conditionalFormatting sqref="FE44:FE45">
    <cfRule type="expression" dxfId="1605" priority="20484" stopIfTrue="1">
      <formula>NOT(AND(SUM($FE$44:$FE$45) &lt;= 3,AND(NOT($FE$44&lt;0),NOT($FE$45&lt;0)),NOT(AND($FE$44=0,$FE$45=3)),NOT(AND($FE$44=3,$FE$45=0))))</formula>
    </cfRule>
  </conditionalFormatting>
  <conditionalFormatting sqref="FI44:FI45">
    <cfRule type="cellIs" dxfId="1604" priority="20487" stopIfTrue="1" operator="equal">
      <formula>2</formula>
    </cfRule>
  </conditionalFormatting>
  <conditionalFormatting sqref="FI44">
    <cfRule type="expression" dxfId="1603" priority="20486" stopIfTrue="1">
      <formula>$FI$45=2</formula>
    </cfRule>
  </conditionalFormatting>
  <conditionalFormatting sqref="FI45">
    <cfRule type="expression" dxfId="1602" priority="20485" stopIfTrue="1">
      <formula>$FI$44=2</formula>
    </cfRule>
  </conditionalFormatting>
  <conditionalFormatting sqref="FI44:FI45">
    <cfRule type="expression" dxfId="1601" priority="20480" stopIfTrue="1">
      <formula>NOT(AND(SUM($FI$44:$FI$45) &lt;= 3,AND(NOT($FI$44&lt;0),NOT($FI$45&lt;0)),NOT(AND($FI$44=0,$FI$45=3)),NOT(AND($FI$44=3,$FI$45=0))))</formula>
    </cfRule>
  </conditionalFormatting>
  <conditionalFormatting sqref="FM44:FM45">
    <cfRule type="cellIs" dxfId="1600" priority="20483" stopIfTrue="1" operator="equal">
      <formula>2</formula>
    </cfRule>
  </conditionalFormatting>
  <conditionalFormatting sqref="FM44">
    <cfRule type="expression" dxfId="1599" priority="20482" stopIfTrue="1">
      <formula>$FM$45=2</formula>
    </cfRule>
  </conditionalFormatting>
  <conditionalFormatting sqref="FM45">
    <cfRule type="expression" dxfId="1598" priority="20481" stopIfTrue="1">
      <formula>$FM$44=2</formula>
    </cfRule>
  </conditionalFormatting>
  <conditionalFormatting sqref="FM44:FM45">
    <cfRule type="expression" dxfId="1597" priority="20476" stopIfTrue="1">
      <formula>NOT(AND(SUM($FM$44:$FM$45) &lt;= 3,AND(NOT($FM$44&lt;0),NOT($FM$45&lt;0)),NOT(AND($FM$44=0,$FM$45=3)),NOT(AND($FM$44=3,$FM$45=0))))</formula>
    </cfRule>
  </conditionalFormatting>
  <conditionalFormatting sqref="DY48:DY49">
    <cfRule type="cellIs" dxfId="1596" priority="20443" stopIfTrue="1" operator="equal">
      <formula>2</formula>
    </cfRule>
  </conditionalFormatting>
  <conditionalFormatting sqref="DY48">
    <cfRule type="expression" dxfId="1595" priority="20442" stopIfTrue="1">
      <formula>$DY$49=2</formula>
    </cfRule>
  </conditionalFormatting>
  <conditionalFormatting sqref="DY49">
    <cfRule type="expression" dxfId="1594" priority="20441" stopIfTrue="1">
      <formula>$DY$48=2</formula>
    </cfRule>
  </conditionalFormatting>
  <conditionalFormatting sqref="DY48:DY49">
    <cfRule type="expression" dxfId="1593" priority="20436" stopIfTrue="1">
      <formula>NOT(AND(SUM($DY$48:$DY$49) &lt;= 3,AND(NOT($DY$48&lt;0),NOT($DY$49&lt;0)),NOT(AND($DY$48=0,$DY$49=3)),NOT(AND($DY$48=3,$DY$49=0))))</formula>
    </cfRule>
  </conditionalFormatting>
  <conditionalFormatting sqref="EC48:EC49">
    <cfRule type="cellIs" dxfId="1592" priority="20439" stopIfTrue="1" operator="equal">
      <formula>2</formula>
    </cfRule>
  </conditionalFormatting>
  <conditionalFormatting sqref="EC48">
    <cfRule type="expression" dxfId="1591" priority="20438" stopIfTrue="1">
      <formula>$EC$49=2</formula>
    </cfRule>
  </conditionalFormatting>
  <conditionalFormatting sqref="EC49">
    <cfRule type="expression" dxfId="1590" priority="20437" stopIfTrue="1">
      <formula>$EC$48=2</formula>
    </cfRule>
  </conditionalFormatting>
  <conditionalFormatting sqref="EC48:EC49">
    <cfRule type="expression" dxfId="1589" priority="20432" stopIfTrue="1">
      <formula>NOT(AND(SUM($EC$48:$EC$49) &lt;= 3,AND(NOT($EC$48&lt;0),NOT($EC$49&lt;0)),NOT(AND($EC$48=0,$EC$49=3)),NOT(AND($EC$48=3,$EC$49=0))))</formula>
    </cfRule>
  </conditionalFormatting>
  <conditionalFormatting sqref="EG48:EG49">
    <cfRule type="cellIs" dxfId="1588" priority="20435" stopIfTrue="1" operator="equal">
      <formula>2</formula>
    </cfRule>
  </conditionalFormatting>
  <conditionalFormatting sqref="EG48">
    <cfRule type="expression" dxfId="1587" priority="20434" stopIfTrue="1">
      <formula>$EG$49=2</formula>
    </cfRule>
  </conditionalFormatting>
  <conditionalFormatting sqref="EG49">
    <cfRule type="expression" dxfId="1586" priority="20433" stopIfTrue="1">
      <formula>$EG$48=2</formula>
    </cfRule>
  </conditionalFormatting>
  <conditionalFormatting sqref="EG48:EG49">
    <cfRule type="expression" dxfId="1585" priority="20428" stopIfTrue="1">
      <formula>NOT(AND(SUM($EG$48:$EG$49) &lt;= 3,AND(NOT($EG$48&lt;0),NOT($EG$49&lt;0)),NOT(AND($EG$48=0,$EG$49=3)),NOT(AND($EG$48=3,$EG$49=0))))</formula>
    </cfRule>
  </conditionalFormatting>
  <conditionalFormatting sqref="EK48:EK49">
    <cfRule type="cellIs" dxfId="1584" priority="20431" stopIfTrue="1" operator="equal">
      <formula>2</formula>
    </cfRule>
  </conditionalFormatting>
  <conditionalFormatting sqref="EK48">
    <cfRule type="expression" dxfId="1583" priority="20430" stopIfTrue="1">
      <formula>$EK$49=2</formula>
    </cfRule>
  </conditionalFormatting>
  <conditionalFormatting sqref="EK49">
    <cfRule type="expression" dxfId="1582" priority="20429" stopIfTrue="1">
      <formula>$EK$48=2</formula>
    </cfRule>
  </conditionalFormatting>
  <conditionalFormatting sqref="EK48:EK49">
    <cfRule type="expression" dxfId="1581" priority="20424" stopIfTrue="1">
      <formula>NOT(AND(SUM($EK$48:$EK$49) &lt;= 3,AND(NOT($EK$48&lt;0),NOT($EK$49&lt;0)),NOT(AND($EK$48=0,$EK$49=3)),NOT(AND($EK$48=3,$EK$49=0))))</formula>
    </cfRule>
  </conditionalFormatting>
  <conditionalFormatting sqref="EO48:EO49">
    <cfRule type="cellIs" dxfId="1580" priority="20427" stopIfTrue="1" operator="equal">
      <formula>2</formula>
    </cfRule>
  </conditionalFormatting>
  <conditionalFormatting sqref="EO48">
    <cfRule type="expression" dxfId="1579" priority="20426" stopIfTrue="1">
      <formula>$EO$49=2</formula>
    </cfRule>
  </conditionalFormatting>
  <conditionalFormatting sqref="EO49">
    <cfRule type="expression" dxfId="1578" priority="20425" stopIfTrue="1">
      <formula>$EO$48=2</formula>
    </cfRule>
  </conditionalFormatting>
  <conditionalFormatting sqref="EO48:EO49">
    <cfRule type="expression" dxfId="1577" priority="20420" stopIfTrue="1">
      <formula>NOT(AND(SUM($EO$48:$EO$49) &lt;= 3,AND(NOT($EO$48&lt;0),NOT($EO$49&lt;0)),NOT(AND($EO$48=0,$EO$49=3)),NOT(AND($EO$48=3,$EO$49=0))))</formula>
    </cfRule>
  </conditionalFormatting>
  <conditionalFormatting sqref="ES48:ES49">
    <cfRule type="cellIs" dxfId="1576" priority="20423" stopIfTrue="1" operator="equal">
      <formula>2</formula>
    </cfRule>
  </conditionalFormatting>
  <conditionalFormatting sqref="ES48">
    <cfRule type="expression" dxfId="1575" priority="20422" stopIfTrue="1">
      <formula>$ES$49=2</formula>
    </cfRule>
  </conditionalFormatting>
  <conditionalFormatting sqref="ES49">
    <cfRule type="expression" dxfId="1574" priority="20421" stopIfTrue="1">
      <formula>$ES$48=2</formula>
    </cfRule>
  </conditionalFormatting>
  <conditionalFormatting sqref="ES48:ES49">
    <cfRule type="expression" dxfId="1573" priority="20416" stopIfTrue="1">
      <formula>NOT(AND(SUM($ES$48:$ES$49) &lt;= 3,AND(NOT($ES$48&lt;0),NOT($ES$49&lt;0)),NOT(AND($ES$48=0,$ES$49=3)),NOT(AND($ES$48=3,$ES$49=0))))</formula>
    </cfRule>
  </conditionalFormatting>
  <conditionalFormatting sqref="EW48:EW49">
    <cfRule type="cellIs" dxfId="1572" priority="20419" stopIfTrue="1" operator="equal">
      <formula>2</formula>
    </cfRule>
  </conditionalFormatting>
  <conditionalFormatting sqref="EW48">
    <cfRule type="expression" dxfId="1571" priority="20418" stopIfTrue="1">
      <formula>$EW$49=2</formula>
    </cfRule>
  </conditionalFormatting>
  <conditionalFormatting sqref="EW49">
    <cfRule type="expression" dxfId="1570" priority="20417" stopIfTrue="1">
      <formula>$EW$48=2</formula>
    </cfRule>
  </conditionalFormatting>
  <conditionalFormatting sqref="EW48:EW49">
    <cfRule type="expression" dxfId="1569" priority="20412" stopIfTrue="1">
      <formula>NOT(AND(SUM($EW$48:$EW$49) &lt;= 3,AND(NOT($EW$48&lt;0),NOT($EW$49&lt;0)),NOT(AND($EW$48=0,$EW$49=3)),NOT(AND($EW$48=3,$EW$49=0))))</formula>
    </cfRule>
  </conditionalFormatting>
  <conditionalFormatting sqref="FA48:FA49">
    <cfRule type="cellIs" dxfId="1568" priority="20415" stopIfTrue="1" operator="equal">
      <formula>2</formula>
    </cfRule>
  </conditionalFormatting>
  <conditionalFormatting sqref="FA48">
    <cfRule type="expression" dxfId="1567" priority="20414" stopIfTrue="1">
      <formula>$FA$49=2</formula>
    </cfRule>
  </conditionalFormatting>
  <conditionalFormatting sqref="FA49">
    <cfRule type="expression" dxfId="1566" priority="20413" stopIfTrue="1">
      <formula>$FA$48=2</formula>
    </cfRule>
  </conditionalFormatting>
  <conditionalFormatting sqref="FA48:FA49">
    <cfRule type="expression" dxfId="1565" priority="20408" stopIfTrue="1">
      <formula>NOT(AND(SUM($FA$48:$FA$49) &lt;= 3,AND(NOT($FA$48&lt;0),NOT($FA$49&lt;0)),NOT(AND($FA$48=0,$FA$49=3)),NOT(AND($FA$48=3,$FA$49=0))))</formula>
    </cfRule>
  </conditionalFormatting>
  <conditionalFormatting sqref="FE48:FE49">
    <cfRule type="cellIs" dxfId="1564" priority="20411" stopIfTrue="1" operator="equal">
      <formula>2</formula>
    </cfRule>
  </conditionalFormatting>
  <conditionalFormatting sqref="FE48">
    <cfRule type="expression" dxfId="1563" priority="20410" stopIfTrue="1">
      <formula>$FE$49=2</formula>
    </cfRule>
  </conditionalFormatting>
  <conditionalFormatting sqref="FE49">
    <cfRule type="expression" dxfId="1562" priority="20409" stopIfTrue="1">
      <formula>$FE$48=2</formula>
    </cfRule>
  </conditionalFormatting>
  <conditionalFormatting sqref="FE48:FE49">
    <cfRule type="expression" dxfId="1561" priority="20404" stopIfTrue="1">
      <formula>NOT(AND(SUM($FE$48:$FE$49) &lt;= 3,AND(NOT($FE$48&lt;0),NOT($FE$49&lt;0)),NOT(AND($FE$48=0,$FE$49=3)),NOT(AND($FE$48=3,$FE$49=0))))</formula>
    </cfRule>
  </conditionalFormatting>
  <conditionalFormatting sqref="FI48:FI49">
    <cfRule type="cellIs" dxfId="1560" priority="20407" stopIfTrue="1" operator="equal">
      <formula>2</formula>
    </cfRule>
  </conditionalFormatting>
  <conditionalFormatting sqref="FI48">
    <cfRule type="expression" dxfId="1559" priority="20406" stopIfTrue="1">
      <formula>$FI$49=2</formula>
    </cfRule>
  </conditionalFormatting>
  <conditionalFormatting sqref="FI49">
    <cfRule type="expression" dxfId="1558" priority="20405" stopIfTrue="1">
      <formula>$FI$48=2</formula>
    </cfRule>
  </conditionalFormatting>
  <conditionalFormatting sqref="FI48:FI49">
    <cfRule type="expression" dxfId="1557" priority="20400" stopIfTrue="1">
      <formula>NOT(AND(SUM($FI$48:$FI$49) &lt;= 3,AND(NOT($FI$48&lt;0),NOT($FI$49&lt;0)),NOT(AND($FI$48=0,$FI$49=3)),NOT(AND($FI$48=3,$FI$49=0))))</formula>
    </cfRule>
  </conditionalFormatting>
  <conditionalFormatting sqref="FM48:FM49">
    <cfRule type="cellIs" dxfId="1556" priority="20403" stopIfTrue="1" operator="equal">
      <formula>2</formula>
    </cfRule>
  </conditionalFormatting>
  <conditionalFormatting sqref="FM48">
    <cfRule type="expression" dxfId="1555" priority="20402" stopIfTrue="1">
      <formula>$FM$49=2</formula>
    </cfRule>
  </conditionalFormatting>
  <conditionalFormatting sqref="FM49">
    <cfRule type="expression" dxfId="1554" priority="20401" stopIfTrue="1">
      <formula>$FM$48=2</formula>
    </cfRule>
  </conditionalFormatting>
  <conditionalFormatting sqref="FM48:FM49">
    <cfRule type="expression" dxfId="1553" priority="20396" stopIfTrue="1">
      <formula>NOT(AND(SUM($FM$48:$FM$49) &lt;= 3,AND(NOT($FM$48&lt;0),NOT($FM$49&lt;0)),NOT(AND($FM$48=0,$FM$49=3)),NOT(AND($FM$48=3,$FM$49=0))))</formula>
    </cfRule>
  </conditionalFormatting>
  <conditionalFormatting sqref="DY52:DY53">
    <cfRule type="cellIs" dxfId="1552" priority="20363" stopIfTrue="1" operator="equal">
      <formula>2</formula>
    </cfRule>
  </conditionalFormatting>
  <conditionalFormatting sqref="DY52">
    <cfRule type="expression" dxfId="1551" priority="20362" stopIfTrue="1">
      <formula>$DY$53=2</formula>
    </cfRule>
  </conditionalFormatting>
  <conditionalFormatting sqref="DY53">
    <cfRule type="expression" dxfId="1550" priority="20361" stopIfTrue="1">
      <formula>$DY$52=2</formula>
    </cfRule>
  </conditionalFormatting>
  <conditionalFormatting sqref="DY52:DY53">
    <cfRule type="expression" dxfId="1549" priority="20356" stopIfTrue="1">
      <formula>NOT(AND(SUM($DY$52:$DY$53) &lt;= 3,AND(NOT($DY$52&lt;0),NOT($DY$53&lt;0)),NOT(AND($DY$52=0,$DY$53=3)),NOT(AND($DY$52=3,$DY$53=0))))</formula>
    </cfRule>
  </conditionalFormatting>
  <conditionalFormatting sqref="EC52:EC53">
    <cfRule type="cellIs" dxfId="1548" priority="20359" stopIfTrue="1" operator="equal">
      <formula>2</formula>
    </cfRule>
  </conditionalFormatting>
  <conditionalFormatting sqref="EC52">
    <cfRule type="expression" dxfId="1547" priority="20358" stopIfTrue="1">
      <formula>$EC$53=2</formula>
    </cfRule>
  </conditionalFormatting>
  <conditionalFormatting sqref="EC53">
    <cfRule type="expression" dxfId="1546" priority="20357" stopIfTrue="1">
      <formula>$EC$52=2</formula>
    </cfRule>
  </conditionalFormatting>
  <conditionalFormatting sqref="EC52:EC53">
    <cfRule type="expression" dxfId="1545" priority="20352" stopIfTrue="1">
      <formula>NOT(AND(SUM($EC$52:$EC$53) &lt;= 3,AND(NOT($EC$52&lt;0),NOT($EC$53&lt;0)),NOT(AND($EC$52=0,$EC$53=3)),NOT(AND($EC$52=3,$EC$53=0))))</formula>
    </cfRule>
  </conditionalFormatting>
  <conditionalFormatting sqref="EG52:EG53">
    <cfRule type="cellIs" dxfId="1544" priority="20355" stopIfTrue="1" operator="equal">
      <formula>2</formula>
    </cfRule>
  </conditionalFormatting>
  <conditionalFormatting sqref="EG52">
    <cfRule type="expression" dxfId="1543" priority="20354" stopIfTrue="1">
      <formula>$EG$53=2</formula>
    </cfRule>
  </conditionalFormatting>
  <conditionalFormatting sqref="EG53">
    <cfRule type="expression" dxfId="1542" priority="20353" stopIfTrue="1">
      <formula>$EG$52=2</formula>
    </cfRule>
  </conditionalFormatting>
  <conditionalFormatting sqref="EG52:EG53">
    <cfRule type="expression" dxfId="1541" priority="20348" stopIfTrue="1">
      <formula>NOT(AND(SUM($EG$52:$EG$53) &lt;= 3,AND(NOT($EG$52&lt;0),NOT($EG$53&lt;0)),NOT(AND($EG$52=0,$EG$53=3)),NOT(AND($EG$52=3,$EG$53=0))))</formula>
    </cfRule>
  </conditionalFormatting>
  <conditionalFormatting sqref="EK52:EK53">
    <cfRule type="cellIs" dxfId="1540" priority="20351" stopIfTrue="1" operator="equal">
      <formula>2</formula>
    </cfRule>
  </conditionalFormatting>
  <conditionalFormatting sqref="EK52">
    <cfRule type="expression" dxfId="1539" priority="20350" stopIfTrue="1">
      <formula>$EK$53=2</formula>
    </cfRule>
  </conditionalFormatting>
  <conditionalFormatting sqref="EK53">
    <cfRule type="expression" dxfId="1538" priority="20349" stopIfTrue="1">
      <formula>$EK$52=2</formula>
    </cfRule>
  </conditionalFormatting>
  <conditionalFormatting sqref="EK52:EK53">
    <cfRule type="expression" dxfId="1537" priority="20344" stopIfTrue="1">
      <formula>NOT(AND(SUM($EK$52:$EK$53) &lt;= 3,AND(NOT($EK$52&lt;0),NOT($EK$53&lt;0)),NOT(AND($EK$52=0,$EK$53=3)),NOT(AND($EK$52=3,$EK$53=0))))</formula>
    </cfRule>
  </conditionalFormatting>
  <conditionalFormatting sqref="EO52:EO53">
    <cfRule type="cellIs" dxfId="1536" priority="20347" stopIfTrue="1" operator="equal">
      <formula>2</formula>
    </cfRule>
  </conditionalFormatting>
  <conditionalFormatting sqref="EO52">
    <cfRule type="expression" dxfId="1535" priority="20346" stopIfTrue="1">
      <formula>$EO$53=2</formula>
    </cfRule>
  </conditionalFormatting>
  <conditionalFormatting sqref="EO53">
    <cfRule type="expression" dxfId="1534" priority="20345" stopIfTrue="1">
      <formula>$EO$52=2</formula>
    </cfRule>
  </conditionalFormatting>
  <conditionalFormatting sqref="EO52:EO53">
    <cfRule type="expression" dxfId="1533" priority="20340" stopIfTrue="1">
      <formula>NOT(AND(SUM($EO$52:$EO$53) &lt;= 3,AND(NOT($EO$52&lt;0),NOT($EO$53&lt;0)),NOT(AND($EO$52=0,$EO$53=3)),NOT(AND($EO$52=3,$EO$53=0))))</formula>
    </cfRule>
  </conditionalFormatting>
  <conditionalFormatting sqref="ES52:ES53">
    <cfRule type="cellIs" dxfId="1532" priority="20343" stopIfTrue="1" operator="equal">
      <formula>2</formula>
    </cfRule>
  </conditionalFormatting>
  <conditionalFormatting sqref="ES52">
    <cfRule type="expression" dxfId="1531" priority="20342" stopIfTrue="1">
      <formula>$ES$53=2</formula>
    </cfRule>
  </conditionalFormatting>
  <conditionalFormatting sqref="ES53">
    <cfRule type="expression" dxfId="1530" priority="20341" stopIfTrue="1">
      <formula>$ES$52=2</formula>
    </cfRule>
  </conditionalFormatting>
  <conditionalFormatting sqref="ES52:ES53">
    <cfRule type="expression" dxfId="1529" priority="20336" stopIfTrue="1">
      <formula>NOT(AND(SUM($ES$52:$ES$53) &lt;= 3,AND(NOT($ES$52&lt;0),NOT($ES$53&lt;0)),NOT(AND($ES$52=0,$ES$53=3)),NOT(AND($ES$52=3,$ES$53=0))))</formula>
    </cfRule>
  </conditionalFormatting>
  <conditionalFormatting sqref="EW52:EW53">
    <cfRule type="cellIs" dxfId="1528" priority="20339" stopIfTrue="1" operator="equal">
      <formula>2</formula>
    </cfRule>
  </conditionalFormatting>
  <conditionalFormatting sqref="EW52">
    <cfRule type="expression" dxfId="1527" priority="20338" stopIfTrue="1">
      <formula>$EW$53=2</formula>
    </cfRule>
  </conditionalFormatting>
  <conditionalFormatting sqref="EW53">
    <cfRule type="expression" dxfId="1526" priority="20337" stopIfTrue="1">
      <formula>$EW$52=2</formula>
    </cfRule>
  </conditionalFormatting>
  <conditionalFormatting sqref="EW52:EW53">
    <cfRule type="expression" dxfId="1525" priority="20332" stopIfTrue="1">
      <formula>NOT(AND(SUM($EW$52:$EW$53) &lt;= 3,AND(NOT($EW$52&lt;0),NOT($EW$53&lt;0)),NOT(AND($EW$52=0,$EW$53=3)),NOT(AND($EW$52=3,$EW$53=0))))</formula>
    </cfRule>
  </conditionalFormatting>
  <conditionalFormatting sqref="FA52:FA53">
    <cfRule type="cellIs" dxfId="1524" priority="20335" stopIfTrue="1" operator="equal">
      <formula>2</formula>
    </cfRule>
  </conditionalFormatting>
  <conditionalFormatting sqref="FA52">
    <cfRule type="expression" dxfId="1523" priority="20334" stopIfTrue="1">
      <formula>$FA$53=2</formula>
    </cfRule>
  </conditionalFormatting>
  <conditionalFormatting sqref="FA53">
    <cfRule type="expression" dxfId="1522" priority="20333" stopIfTrue="1">
      <formula>$FA$52=2</formula>
    </cfRule>
  </conditionalFormatting>
  <conditionalFormatting sqref="FA52:FA53">
    <cfRule type="expression" dxfId="1521" priority="20328" stopIfTrue="1">
      <formula>NOT(AND(SUM($FA$52:$FA$53) &lt;= 3,AND(NOT($FA$52&lt;0),NOT($FA$53&lt;0)),NOT(AND($FA$52=0,$FA$53=3)),NOT(AND($FA$52=3,$FA$53=0))))</formula>
    </cfRule>
  </conditionalFormatting>
  <conditionalFormatting sqref="FE52:FE53">
    <cfRule type="cellIs" dxfId="1520" priority="20331" stopIfTrue="1" operator="equal">
      <formula>2</formula>
    </cfRule>
  </conditionalFormatting>
  <conditionalFormatting sqref="FE52">
    <cfRule type="expression" dxfId="1519" priority="20330" stopIfTrue="1">
      <formula>$FE$53=2</formula>
    </cfRule>
  </conditionalFormatting>
  <conditionalFormatting sqref="FE53">
    <cfRule type="expression" dxfId="1518" priority="20329" stopIfTrue="1">
      <formula>$FE$52=2</formula>
    </cfRule>
  </conditionalFormatting>
  <conditionalFormatting sqref="FE52:FE53">
    <cfRule type="expression" dxfId="1517" priority="20324" stopIfTrue="1">
      <formula>NOT(AND(SUM($FE$52:$FE$53) &lt;= 3,AND(NOT($FE$52&lt;0),NOT($FE$53&lt;0)),NOT(AND($FE$52=0,$FE$53=3)),NOT(AND($FE$52=3,$FE$53=0))))</formula>
    </cfRule>
  </conditionalFormatting>
  <conditionalFormatting sqref="FI52:FI53">
    <cfRule type="cellIs" dxfId="1516" priority="20327" stopIfTrue="1" operator="equal">
      <formula>2</formula>
    </cfRule>
  </conditionalFormatting>
  <conditionalFormatting sqref="FI52">
    <cfRule type="expression" dxfId="1515" priority="20326" stopIfTrue="1">
      <formula>$FI$53=2</formula>
    </cfRule>
  </conditionalFormatting>
  <conditionalFormatting sqref="FI53">
    <cfRule type="expression" dxfId="1514" priority="20325" stopIfTrue="1">
      <formula>$FI$52=2</formula>
    </cfRule>
  </conditionalFormatting>
  <conditionalFormatting sqref="FI52:FI53">
    <cfRule type="expression" dxfId="1513" priority="20320" stopIfTrue="1">
      <formula>NOT(AND(SUM($FI$52:$FI$53) &lt;= 3,AND(NOT($FI$52&lt;0),NOT($FI$53&lt;0)),NOT(AND($FI$52=0,$FI$53=3)),NOT(AND($FI$52=3,$FI$53=0))))</formula>
    </cfRule>
  </conditionalFormatting>
  <conditionalFormatting sqref="FM52:FM53">
    <cfRule type="cellIs" dxfId="1512" priority="20323" stopIfTrue="1" operator="equal">
      <formula>2</formula>
    </cfRule>
  </conditionalFormatting>
  <conditionalFormatting sqref="FM52">
    <cfRule type="expression" dxfId="1511" priority="20322" stopIfTrue="1">
      <formula>$FM$53=2</formula>
    </cfRule>
  </conditionalFormatting>
  <conditionalFormatting sqref="FM53">
    <cfRule type="expression" dxfId="1510" priority="20321" stopIfTrue="1">
      <formula>$FM$52=2</formula>
    </cfRule>
  </conditionalFormatting>
  <conditionalFormatting sqref="FM52:FM53">
    <cfRule type="expression" dxfId="1509" priority="20316" stopIfTrue="1">
      <formula>NOT(AND(SUM($FM$52:$FM$53) &lt;= 3,AND(NOT($FM$52&lt;0),NOT($FM$53&lt;0)),NOT(AND($FM$52=0,$FM$53=3)),NOT(AND($FM$52=3,$FM$53=0))))</formula>
    </cfRule>
  </conditionalFormatting>
  <conditionalFormatting sqref="DY56:DY57">
    <cfRule type="cellIs" dxfId="1508" priority="20283" stopIfTrue="1" operator="equal">
      <formula>2</formula>
    </cfRule>
  </conditionalFormatting>
  <conditionalFormatting sqref="DY56">
    <cfRule type="expression" dxfId="1507" priority="20282" stopIfTrue="1">
      <formula>$DY$57=2</formula>
    </cfRule>
  </conditionalFormatting>
  <conditionalFormatting sqref="DY57">
    <cfRule type="expression" dxfId="1506" priority="20281" stopIfTrue="1">
      <formula>$DY$56=2</formula>
    </cfRule>
  </conditionalFormatting>
  <conditionalFormatting sqref="DY56:DY57">
    <cfRule type="expression" dxfId="1505" priority="20276" stopIfTrue="1">
      <formula>NOT(AND(SUM($DY$56:$DY$57) &lt;= 3,AND(NOT($DY$56&lt;0),NOT($DY$57&lt;0)),NOT(AND($DY$56=0,$DY$57=3)),NOT(AND($DY$56=3,$DY$57=0))))</formula>
    </cfRule>
  </conditionalFormatting>
  <conditionalFormatting sqref="EC56:EC57">
    <cfRule type="cellIs" dxfId="1504" priority="20279" stopIfTrue="1" operator="equal">
      <formula>2</formula>
    </cfRule>
  </conditionalFormatting>
  <conditionalFormatting sqref="EC56">
    <cfRule type="expression" dxfId="1503" priority="20278" stopIfTrue="1">
      <formula>$EC$57=2</formula>
    </cfRule>
  </conditionalFormatting>
  <conditionalFormatting sqref="EC57">
    <cfRule type="expression" dxfId="1502" priority="20277" stopIfTrue="1">
      <formula>$EC$56=2</formula>
    </cfRule>
  </conditionalFormatting>
  <conditionalFormatting sqref="EC56:EC57">
    <cfRule type="expression" dxfId="1501" priority="20272" stopIfTrue="1">
      <formula>NOT(AND(SUM($EC$56:$EC$57) &lt;= 3,AND(NOT($EC$56&lt;0),NOT($EC$57&lt;0)),NOT(AND($EC$56=0,$EC$57=3)),NOT(AND($EC$56=3,$EC$57=0))))</formula>
    </cfRule>
  </conditionalFormatting>
  <conditionalFormatting sqref="EG56:EG57">
    <cfRule type="cellIs" dxfId="1500" priority="20275" stopIfTrue="1" operator="equal">
      <formula>2</formula>
    </cfRule>
  </conditionalFormatting>
  <conditionalFormatting sqref="EG56">
    <cfRule type="expression" dxfId="1499" priority="20274" stopIfTrue="1">
      <formula>$EG$57=2</formula>
    </cfRule>
  </conditionalFormatting>
  <conditionalFormatting sqref="EG57">
    <cfRule type="expression" dxfId="1498" priority="20273" stopIfTrue="1">
      <formula>$EG$56=2</formula>
    </cfRule>
  </conditionalFormatting>
  <conditionalFormatting sqref="EG56:EG57">
    <cfRule type="expression" dxfId="1497" priority="20268" stopIfTrue="1">
      <formula>NOT(AND(SUM($EG$56:$EG$57) &lt;= 3,AND(NOT($EG$56&lt;0),NOT($EG$57&lt;0)),NOT(AND($EG$56=0,$EG$57=3)),NOT(AND($EG$56=3,$EG$57=0))))</formula>
    </cfRule>
  </conditionalFormatting>
  <conditionalFormatting sqref="EK56:EK57">
    <cfRule type="cellIs" dxfId="1496" priority="20271" stopIfTrue="1" operator="equal">
      <formula>2</formula>
    </cfRule>
  </conditionalFormatting>
  <conditionalFormatting sqref="EK56">
    <cfRule type="expression" dxfId="1495" priority="20270" stopIfTrue="1">
      <formula>$EK$57=2</formula>
    </cfRule>
  </conditionalFormatting>
  <conditionalFormatting sqref="EK57">
    <cfRule type="expression" dxfId="1494" priority="20269" stopIfTrue="1">
      <formula>$EK$56=2</formula>
    </cfRule>
  </conditionalFormatting>
  <conditionalFormatting sqref="EK56:EK57">
    <cfRule type="expression" dxfId="1493" priority="20264" stopIfTrue="1">
      <formula>NOT(AND(SUM($EK$56:$EK$57) &lt;= 3,AND(NOT($EK$56&lt;0),NOT($EK$57&lt;0)),NOT(AND($EK$56=0,$EK$57=3)),NOT(AND($EK$56=3,$EK$57=0))))</formula>
    </cfRule>
  </conditionalFormatting>
  <conditionalFormatting sqref="EO56:EO57">
    <cfRule type="cellIs" dxfId="1492" priority="20267" stopIfTrue="1" operator="equal">
      <formula>2</formula>
    </cfRule>
  </conditionalFormatting>
  <conditionalFormatting sqref="EO56">
    <cfRule type="expression" dxfId="1491" priority="20266" stopIfTrue="1">
      <formula>$EO$57=2</formula>
    </cfRule>
  </conditionalFormatting>
  <conditionalFormatting sqref="EO57">
    <cfRule type="expression" dxfId="1490" priority="20265" stopIfTrue="1">
      <formula>$EO$56=2</formula>
    </cfRule>
  </conditionalFormatting>
  <conditionalFormatting sqref="EO56:EO57">
    <cfRule type="expression" dxfId="1489" priority="20260" stopIfTrue="1">
      <formula>NOT(AND(SUM($EO$56:$EO$57) &lt;= 3,AND(NOT($EO$56&lt;0),NOT($EO$57&lt;0)),NOT(AND($EO$56=0,$EO$57=3)),NOT(AND($EO$56=3,$EO$57=0))))</formula>
    </cfRule>
  </conditionalFormatting>
  <conditionalFormatting sqref="ES56:ES57">
    <cfRule type="cellIs" dxfId="1488" priority="20263" stopIfTrue="1" operator="equal">
      <formula>2</formula>
    </cfRule>
  </conditionalFormatting>
  <conditionalFormatting sqref="ES56">
    <cfRule type="expression" dxfId="1487" priority="20262" stopIfTrue="1">
      <formula>$ES$57=2</formula>
    </cfRule>
  </conditionalFormatting>
  <conditionalFormatting sqref="ES57">
    <cfRule type="expression" dxfId="1486" priority="20261" stopIfTrue="1">
      <formula>$ES$56=2</formula>
    </cfRule>
  </conditionalFormatting>
  <conditionalFormatting sqref="ES56:ES57">
    <cfRule type="expression" dxfId="1485" priority="20256" stopIfTrue="1">
      <formula>NOT(AND(SUM($ES$56:$ES$57) &lt;= 3,AND(NOT($ES$56&lt;0),NOT($ES$57&lt;0)),NOT(AND($ES$56=0,$ES$57=3)),NOT(AND($ES$56=3,$ES$57=0))))</formula>
    </cfRule>
  </conditionalFormatting>
  <conditionalFormatting sqref="EW56:EW57">
    <cfRule type="cellIs" dxfId="1484" priority="20259" stopIfTrue="1" operator="equal">
      <formula>2</formula>
    </cfRule>
  </conditionalFormatting>
  <conditionalFormatting sqref="EW56">
    <cfRule type="expression" dxfId="1483" priority="20258" stopIfTrue="1">
      <formula>$EW$57=2</formula>
    </cfRule>
  </conditionalFormatting>
  <conditionalFormatting sqref="EW57">
    <cfRule type="expression" dxfId="1482" priority="20257" stopIfTrue="1">
      <formula>$EW$56=2</formula>
    </cfRule>
  </conditionalFormatting>
  <conditionalFormatting sqref="EW56:EW57">
    <cfRule type="expression" dxfId="1481" priority="20252" stopIfTrue="1">
      <formula>NOT(AND(SUM($EW$56:$EW$57) &lt;= 3,AND(NOT($EW$56&lt;0),NOT($EW$57&lt;0)),NOT(AND($EW$56=0,$EW$57=3)),NOT(AND($EW$56=3,$EW$57=0))))</formula>
    </cfRule>
  </conditionalFormatting>
  <conditionalFormatting sqref="FA56:FA57">
    <cfRule type="cellIs" dxfId="1480" priority="20255" stopIfTrue="1" operator="equal">
      <formula>2</formula>
    </cfRule>
  </conditionalFormatting>
  <conditionalFormatting sqref="FA56">
    <cfRule type="expression" dxfId="1479" priority="20254" stopIfTrue="1">
      <formula>$FA$57=2</formula>
    </cfRule>
  </conditionalFormatting>
  <conditionalFormatting sqref="FA57">
    <cfRule type="expression" dxfId="1478" priority="20253" stopIfTrue="1">
      <formula>$FA$56=2</formula>
    </cfRule>
  </conditionalFormatting>
  <conditionalFormatting sqref="FA56:FA57">
    <cfRule type="expression" dxfId="1477" priority="20248" stopIfTrue="1">
      <formula>NOT(AND(SUM($FA$56:$FA$57) &lt;= 3,AND(NOT($FA$56&lt;0),NOT($FA$57&lt;0)),NOT(AND($FA$56=0,$FA$57=3)),NOT(AND($FA$56=3,$FA$57=0))))</formula>
    </cfRule>
  </conditionalFormatting>
  <conditionalFormatting sqref="FE56:FE57">
    <cfRule type="cellIs" dxfId="1476" priority="20251" stopIfTrue="1" operator="equal">
      <formula>2</formula>
    </cfRule>
  </conditionalFormatting>
  <conditionalFormatting sqref="FE56">
    <cfRule type="expression" dxfId="1475" priority="20250" stopIfTrue="1">
      <formula>$FE$57=2</formula>
    </cfRule>
  </conditionalFormatting>
  <conditionalFormatting sqref="FE57">
    <cfRule type="expression" dxfId="1474" priority="20249" stopIfTrue="1">
      <formula>$FE$56=2</formula>
    </cfRule>
  </conditionalFormatting>
  <conditionalFormatting sqref="FE56:FE57">
    <cfRule type="expression" dxfId="1473" priority="20244" stopIfTrue="1">
      <formula>NOT(AND(SUM($FE$56:$FE$57) &lt;= 3,AND(NOT($FE$56&lt;0),NOT($FE$57&lt;0)),NOT(AND($FE$56=0,$FE$57=3)),NOT(AND($FE$56=3,$FE$57=0))))</formula>
    </cfRule>
  </conditionalFormatting>
  <conditionalFormatting sqref="FI56:FI57">
    <cfRule type="cellIs" dxfId="1472" priority="20247" stopIfTrue="1" operator="equal">
      <formula>2</formula>
    </cfRule>
  </conditionalFormatting>
  <conditionalFormatting sqref="FI56">
    <cfRule type="expression" dxfId="1471" priority="20246" stopIfTrue="1">
      <formula>$FI$57=2</formula>
    </cfRule>
  </conditionalFormatting>
  <conditionalFormatting sqref="FI57">
    <cfRule type="expression" dxfId="1470" priority="20245" stopIfTrue="1">
      <formula>$FI$56=2</formula>
    </cfRule>
  </conditionalFormatting>
  <conditionalFormatting sqref="FI56:FI57">
    <cfRule type="expression" dxfId="1469" priority="20240" stopIfTrue="1">
      <formula>NOT(AND(SUM($FI$56:$FI$57) &lt;= 3,AND(NOT($FI$56&lt;0),NOT($FI$57&lt;0)),NOT(AND($FI$56=0,$FI$57=3)),NOT(AND($FI$56=3,$FI$57=0))))</formula>
    </cfRule>
  </conditionalFormatting>
  <conditionalFormatting sqref="FM56:FM57">
    <cfRule type="cellIs" dxfId="1468" priority="20243" stopIfTrue="1" operator="equal">
      <formula>2</formula>
    </cfRule>
  </conditionalFormatting>
  <conditionalFormatting sqref="FM56">
    <cfRule type="expression" dxfId="1467" priority="20242" stopIfTrue="1">
      <formula>$FM$57=2</formula>
    </cfRule>
  </conditionalFormatting>
  <conditionalFormatting sqref="FM57">
    <cfRule type="expression" dxfId="1466" priority="20241" stopIfTrue="1">
      <formula>$FM$56=2</formula>
    </cfRule>
  </conditionalFormatting>
  <conditionalFormatting sqref="FM56:FM57">
    <cfRule type="expression" dxfId="1465" priority="20236" stopIfTrue="1">
      <formula>NOT(AND(SUM($FM$56:$FM$57) &lt;= 3,AND(NOT($FM$56&lt;0),NOT($FM$57&lt;0)),NOT(AND($FM$56=0,$FM$57=3)),NOT(AND($FM$56=3,$FM$57=0))))</formula>
    </cfRule>
  </conditionalFormatting>
  <conditionalFormatting sqref="DY60:DY61">
    <cfRule type="cellIs" dxfId="1464" priority="20203" stopIfTrue="1" operator="equal">
      <formula>2</formula>
    </cfRule>
  </conditionalFormatting>
  <conditionalFormatting sqref="DY60">
    <cfRule type="expression" dxfId="1463" priority="20202" stopIfTrue="1">
      <formula>$DY$61=2</formula>
    </cfRule>
  </conditionalFormatting>
  <conditionalFormatting sqref="DY61">
    <cfRule type="expression" dxfId="1462" priority="20201" stopIfTrue="1">
      <formula>$DY$60=2</formula>
    </cfRule>
  </conditionalFormatting>
  <conditionalFormatting sqref="DY60:DY61">
    <cfRule type="expression" dxfId="1461" priority="20196" stopIfTrue="1">
      <formula>NOT(AND(SUM($DY$60:$DY$61) &lt;= 3,AND(NOT($DY$60&lt;0),NOT($DY$61&lt;0)),NOT(AND($DY$60=0,$DY$61=3)),NOT(AND($DY$60=3,$DY$61=0))))</formula>
    </cfRule>
  </conditionalFormatting>
  <conditionalFormatting sqref="EC60:EC61">
    <cfRule type="cellIs" dxfId="1460" priority="20199" stopIfTrue="1" operator="equal">
      <formula>2</formula>
    </cfRule>
  </conditionalFormatting>
  <conditionalFormatting sqref="EC60">
    <cfRule type="expression" dxfId="1459" priority="20198" stopIfTrue="1">
      <formula>$EC$61=2</formula>
    </cfRule>
  </conditionalFormatting>
  <conditionalFormatting sqref="EC61">
    <cfRule type="expression" dxfId="1458" priority="20197" stopIfTrue="1">
      <formula>$EC$60=2</formula>
    </cfRule>
  </conditionalFormatting>
  <conditionalFormatting sqref="EC60:EC61">
    <cfRule type="expression" dxfId="1457" priority="20192" stopIfTrue="1">
      <formula>NOT(AND(SUM($EC$60:$EC$61) &lt;= 3,AND(NOT($EC$60&lt;0),NOT($EC$61&lt;0)),NOT(AND($EC$60=0,$EC$61=3)),NOT(AND($EC$60=3,$EC$61=0))))</formula>
    </cfRule>
  </conditionalFormatting>
  <conditionalFormatting sqref="EG60:EG61">
    <cfRule type="cellIs" dxfId="1456" priority="20195" stopIfTrue="1" operator="equal">
      <formula>2</formula>
    </cfRule>
  </conditionalFormatting>
  <conditionalFormatting sqref="EG60">
    <cfRule type="expression" dxfId="1455" priority="20194" stopIfTrue="1">
      <formula>$EG$61=2</formula>
    </cfRule>
  </conditionalFormatting>
  <conditionalFormatting sqref="EG61">
    <cfRule type="expression" dxfId="1454" priority="20193" stopIfTrue="1">
      <formula>$EG$60=2</formula>
    </cfRule>
  </conditionalFormatting>
  <conditionalFormatting sqref="EG60:EG61">
    <cfRule type="expression" dxfId="1453" priority="20188" stopIfTrue="1">
      <formula>NOT(AND(SUM($EG$60:$EG$61) &lt;= 3,AND(NOT($EG$60&lt;0),NOT($EG$61&lt;0)),NOT(AND($EG$60=0,$EG$61=3)),NOT(AND($EG$60=3,$EG$61=0))))</formula>
    </cfRule>
  </conditionalFormatting>
  <conditionalFormatting sqref="EK60:EK61">
    <cfRule type="cellIs" dxfId="1452" priority="20191" stopIfTrue="1" operator="equal">
      <formula>2</formula>
    </cfRule>
  </conditionalFormatting>
  <conditionalFormatting sqref="EK60">
    <cfRule type="expression" dxfId="1451" priority="20190" stopIfTrue="1">
      <formula>$EK$61=2</formula>
    </cfRule>
  </conditionalFormatting>
  <conditionalFormatting sqref="EK61">
    <cfRule type="expression" dxfId="1450" priority="20189" stopIfTrue="1">
      <formula>$EK$60=2</formula>
    </cfRule>
  </conditionalFormatting>
  <conditionalFormatting sqref="EK60:EK61">
    <cfRule type="expression" dxfId="1449" priority="20184" stopIfTrue="1">
      <formula>NOT(AND(SUM($EK$60:$EK$61) &lt;= 3,AND(NOT($EK$60&lt;0),NOT($EK$61&lt;0)),NOT(AND($EK$60=0,$EK$61=3)),NOT(AND($EK$60=3,$EK$61=0))))</formula>
    </cfRule>
  </conditionalFormatting>
  <conditionalFormatting sqref="EO60:EO61">
    <cfRule type="cellIs" dxfId="1448" priority="20187" stopIfTrue="1" operator="equal">
      <formula>2</formula>
    </cfRule>
  </conditionalFormatting>
  <conditionalFormatting sqref="EO60">
    <cfRule type="expression" dxfId="1447" priority="20186" stopIfTrue="1">
      <formula>$EO$61=2</formula>
    </cfRule>
  </conditionalFormatting>
  <conditionalFormatting sqref="EO61">
    <cfRule type="expression" dxfId="1446" priority="20185" stopIfTrue="1">
      <formula>$EO$60=2</formula>
    </cfRule>
  </conditionalFormatting>
  <conditionalFormatting sqref="EO60:EO61">
    <cfRule type="expression" dxfId="1445" priority="20180" stopIfTrue="1">
      <formula>NOT(AND(SUM($EO$60:$EO$61) &lt;= 3,AND(NOT($EO$60&lt;0),NOT($EO$61&lt;0)),NOT(AND($EO$60=0,$EO$61=3)),NOT(AND($EO$60=3,$EO$61=0))))</formula>
    </cfRule>
  </conditionalFormatting>
  <conditionalFormatting sqref="ES60:ES61">
    <cfRule type="cellIs" dxfId="1444" priority="20183" stopIfTrue="1" operator="equal">
      <formula>2</formula>
    </cfRule>
  </conditionalFormatting>
  <conditionalFormatting sqref="ES60">
    <cfRule type="expression" dxfId="1443" priority="20182" stopIfTrue="1">
      <formula>$ES$61=2</formula>
    </cfRule>
  </conditionalFormatting>
  <conditionalFormatting sqref="ES61">
    <cfRule type="expression" dxfId="1442" priority="20181" stopIfTrue="1">
      <formula>$ES$60=2</formula>
    </cfRule>
  </conditionalFormatting>
  <conditionalFormatting sqref="ES60:ES61">
    <cfRule type="expression" dxfId="1441" priority="20176" stopIfTrue="1">
      <formula>NOT(AND(SUM($ES$60:$ES$61) &lt;= 3,AND(NOT($ES$60&lt;0),NOT($ES$61&lt;0)),NOT(AND($ES$60=0,$ES$61=3)),NOT(AND($ES$60=3,$ES$61=0))))</formula>
    </cfRule>
  </conditionalFormatting>
  <conditionalFormatting sqref="EW60:EW61">
    <cfRule type="cellIs" dxfId="1440" priority="20179" stopIfTrue="1" operator="equal">
      <formula>2</formula>
    </cfRule>
  </conditionalFormatting>
  <conditionalFormatting sqref="EW60">
    <cfRule type="expression" dxfId="1439" priority="20178" stopIfTrue="1">
      <formula>$EW$61=2</formula>
    </cfRule>
  </conditionalFormatting>
  <conditionalFormatting sqref="EW61">
    <cfRule type="expression" dxfId="1438" priority="20177" stopIfTrue="1">
      <formula>$EW$60=2</formula>
    </cfRule>
  </conditionalFormatting>
  <conditionalFormatting sqref="EW60:EW61">
    <cfRule type="expression" dxfId="1437" priority="20172" stopIfTrue="1">
      <formula>NOT(AND(SUM($EW$60:$EW$61) &lt;= 3,AND(NOT($EW$60&lt;0),NOT($EW$61&lt;0)),NOT(AND($EW$60=0,$EW$61=3)),NOT(AND($EW$60=3,$EW$61=0))))</formula>
    </cfRule>
  </conditionalFormatting>
  <conditionalFormatting sqref="FA60:FA61">
    <cfRule type="cellIs" dxfId="1436" priority="20175" stopIfTrue="1" operator="equal">
      <formula>2</formula>
    </cfRule>
  </conditionalFormatting>
  <conditionalFormatting sqref="FA60">
    <cfRule type="expression" dxfId="1435" priority="20174" stopIfTrue="1">
      <formula>$FA$61=2</formula>
    </cfRule>
  </conditionalFormatting>
  <conditionalFormatting sqref="FA61">
    <cfRule type="expression" dxfId="1434" priority="20173" stopIfTrue="1">
      <formula>$FA$60=2</formula>
    </cfRule>
  </conditionalFormatting>
  <conditionalFormatting sqref="FA60:FA61">
    <cfRule type="expression" dxfId="1433" priority="20168" stopIfTrue="1">
      <formula>NOT(AND(SUM($FA$60:$FA$61) &lt;= 3,AND(NOT($FA$60&lt;0),NOT($FA$61&lt;0)),NOT(AND($FA$60=0,$FA$61=3)),NOT(AND($FA$60=3,$FA$61=0))))</formula>
    </cfRule>
  </conditionalFormatting>
  <conditionalFormatting sqref="FE60:FE61">
    <cfRule type="cellIs" dxfId="1432" priority="20171" stopIfTrue="1" operator="equal">
      <formula>2</formula>
    </cfRule>
  </conditionalFormatting>
  <conditionalFormatting sqref="FE60">
    <cfRule type="expression" dxfId="1431" priority="20170" stopIfTrue="1">
      <formula>$FE$61=2</formula>
    </cfRule>
  </conditionalFormatting>
  <conditionalFormatting sqref="FE61">
    <cfRule type="expression" dxfId="1430" priority="20169" stopIfTrue="1">
      <formula>$FE$60=2</formula>
    </cfRule>
  </conditionalFormatting>
  <conditionalFormatting sqref="FE60:FE61">
    <cfRule type="expression" dxfId="1429" priority="20164" stopIfTrue="1">
      <formula>NOT(AND(SUM($FE$60:$FE$61) &lt;= 3,AND(NOT($FE$60&lt;0),NOT($FE$61&lt;0)),NOT(AND($FE$60=0,$FE$61=3)),NOT(AND($FE$60=3,$FE$61=0))))</formula>
    </cfRule>
  </conditionalFormatting>
  <conditionalFormatting sqref="FI60:FI61">
    <cfRule type="cellIs" dxfId="1428" priority="20167" stopIfTrue="1" operator="equal">
      <formula>2</formula>
    </cfRule>
  </conditionalFormatting>
  <conditionalFormatting sqref="FI60">
    <cfRule type="expression" dxfId="1427" priority="20166" stopIfTrue="1">
      <formula>$FI$61=2</formula>
    </cfRule>
  </conditionalFormatting>
  <conditionalFormatting sqref="FI61">
    <cfRule type="expression" dxfId="1426" priority="20165" stopIfTrue="1">
      <formula>$FI$60=2</formula>
    </cfRule>
  </conditionalFormatting>
  <conditionalFormatting sqref="FI60:FI61">
    <cfRule type="expression" dxfId="1425" priority="20160" stopIfTrue="1">
      <formula>NOT(AND(SUM($FI$60:$FI$61) &lt;= 3,AND(NOT($FI$60&lt;0),NOT($FI$61&lt;0)),NOT(AND($FI$60=0,$FI$61=3)),NOT(AND($FI$60=3,$FI$61=0))))</formula>
    </cfRule>
  </conditionalFormatting>
  <conditionalFormatting sqref="FM60:FM61">
    <cfRule type="cellIs" dxfId="1424" priority="20163" stopIfTrue="1" operator="equal">
      <formula>2</formula>
    </cfRule>
  </conditionalFormatting>
  <conditionalFormatting sqref="FM60">
    <cfRule type="expression" dxfId="1423" priority="20162" stopIfTrue="1">
      <formula>$FM$61=2</formula>
    </cfRule>
  </conditionalFormatting>
  <conditionalFormatting sqref="FM61">
    <cfRule type="expression" dxfId="1422" priority="20161" stopIfTrue="1">
      <formula>$FM$60=2</formula>
    </cfRule>
  </conditionalFormatting>
  <conditionalFormatting sqref="FM60:FM61">
    <cfRule type="expression" dxfId="1421" priority="20156" stopIfTrue="1">
      <formula>NOT(AND(SUM($FM$60:$FM$61) &lt;= 3,AND(NOT($FM$60&lt;0),NOT($FM$61&lt;0)),NOT(AND($FM$60=0,$FM$61=3)),NOT(AND($FM$60=3,$FM$61=0))))</formula>
    </cfRule>
  </conditionalFormatting>
  <conditionalFormatting sqref="DY64:DY65">
    <cfRule type="cellIs" dxfId="1420" priority="20123" stopIfTrue="1" operator="equal">
      <formula>2</formula>
    </cfRule>
  </conditionalFormatting>
  <conditionalFormatting sqref="DY64">
    <cfRule type="expression" dxfId="1419" priority="20122" stopIfTrue="1">
      <formula>$DY$65=2</formula>
    </cfRule>
  </conditionalFormatting>
  <conditionalFormatting sqref="DY65">
    <cfRule type="expression" dxfId="1418" priority="20121" stopIfTrue="1">
      <formula>$DY$64=2</formula>
    </cfRule>
  </conditionalFormatting>
  <conditionalFormatting sqref="DY64:DY65">
    <cfRule type="expression" dxfId="1417" priority="20116" stopIfTrue="1">
      <formula>NOT(AND(SUM($DY$64:$DY$65) &lt;= 3,AND(NOT($DY$64&lt;0),NOT($DY$65&lt;0)),NOT(AND($DY$64=0,$DY$65=3)),NOT(AND($DY$64=3,$DY$65=0))))</formula>
    </cfRule>
  </conditionalFormatting>
  <conditionalFormatting sqref="EC64:EC65">
    <cfRule type="cellIs" dxfId="1416" priority="20119" stopIfTrue="1" operator="equal">
      <formula>2</formula>
    </cfRule>
  </conditionalFormatting>
  <conditionalFormatting sqref="EC64">
    <cfRule type="expression" dxfId="1415" priority="20118" stopIfTrue="1">
      <formula>$EC$65=2</formula>
    </cfRule>
  </conditionalFormatting>
  <conditionalFormatting sqref="EC65">
    <cfRule type="expression" dxfId="1414" priority="20117" stopIfTrue="1">
      <formula>$EC$64=2</formula>
    </cfRule>
  </conditionalFormatting>
  <conditionalFormatting sqref="EC64:EC65">
    <cfRule type="expression" dxfId="1413" priority="20112" stopIfTrue="1">
      <formula>NOT(AND(SUM($EC$64:$EC$65) &lt;= 3,AND(NOT($EC$64&lt;0),NOT($EC$65&lt;0)),NOT(AND($EC$64=0,$EC$65=3)),NOT(AND($EC$64=3,$EC$65=0))))</formula>
    </cfRule>
  </conditionalFormatting>
  <conditionalFormatting sqref="EG64:EG65">
    <cfRule type="cellIs" dxfId="1412" priority="20115" stopIfTrue="1" operator="equal">
      <formula>2</formula>
    </cfRule>
  </conditionalFormatting>
  <conditionalFormatting sqref="EG64">
    <cfRule type="expression" dxfId="1411" priority="20114" stopIfTrue="1">
      <formula>$EG$65=2</formula>
    </cfRule>
  </conditionalFormatting>
  <conditionalFormatting sqref="EG65">
    <cfRule type="expression" dxfId="1410" priority="20113" stopIfTrue="1">
      <formula>$EG$64=2</formula>
    </cfRule>
  </conditionalFormatting>
  <conditionalFormatting sqref="EG64:EG65">
    <cfRule type="expression" dxfId="1409" priority="20108" stopIfTrue="1">
      <formula>NOT(AND(SUM($EG$64:$EG$65) &lt;= 3,AND(NOT($EG$64&lt;0),NOT($EG$65&lt;0)),NOT(AND($EG$64=0,$EG$65=3)),NOT(AND($EG$64=3,$EG$65=0))))</formula>
    </cfRule>
  </conditionalFormatting>
  <conditionalFormatting sqref="EK64:EK65">
    <cfRule type="cellIs" dxfId="1408" priority="20111" stopIfTrue="1" operator="equal">
      <formula>2</formula>
    </cfRule>
  </conditionalFormatting>
  <conditionalFormatting sqref="EK64">
    <cfRule type="expression" dxfId="1407" priority="20110" stopIfTrue="1">
      <formula>$EK$65=2</formula>
    </cfRule>
  </conditionalFormatting>
  <conditionalFormatting sqref="EK65">
    <cfRule type="expression" dxfId="1406" priority="20109" stopIfTrue="1">
      <formula>$EK$64=2</formula>
    </cfRule>
  </conditionalFormatting>
  <conditionalFormatting sqref="EK64:EK65">
    <cfRule type="expression" dxfId="1405" priority="20104" stopIfTrue="1">
      <formula>NOT(AND(SUM($EK$64:$EK$65) &lt;= 3,AND(NOT($EK$64&lt;0),NOT($EK$65&lt;0)),NOT(AND($EK$64=0,$EK$65=3)),NOT(AND($EK$64=3,$EK$65=0))))</formula>
    </cfRule>
  </conditionalFormatting>
  <conditionalFormatting sqref="EO64:EO65">
    <cfRule type="cellIs" dxfId="1404" priority="20107" stopIfTrue="1" operator="equal">
      <formula>2</formula>
    </cfRule>
  </conditionalFormatting>
  <conditionalFormatting sqref="EO64">
    <cfRule type="expression" dxfId="1403" priority="20106" stopIfTrue="1">
      <formula>$EO$65=2</formula>
    </cfRule>
  </conditionalFormatting>
  <conditionalFormatting sqref="EO65">
    <cfRule type="expression" dxfId="1402" priority="20105" stopIfTrue="1">
      <formula>$EO$64=2</formula>
    </cfRule>
  </conditionalFormatting>
  <conditionalFormatting sqref="EO64:EO65">
    <cfRule type="expression" dxfId="1401" priority="20100" stopIfTrue="1">
      <formula>NOT(AND(SUM($EO$64:$EO$65) &lt;= 3,AND(NOT($EO$64&lt;0),NOT($EO$65&lt;0)),NOT(AND($EO$64=0,$EO$65=3)),NOT(AND($EO$64=3,$EO$65=0))))</formula>
    </cfRule>
  </conditionalFormatting>
  <conditionalFormatting sqref="ES64:ES65">
    <cfRule type="cellIs" dxfId="1400" priority="20103" stopIfTrue="1" operator="equal">
      <formula>2</formula>
    </cfRule>
  </conditionalFormatting>
  <conditionalFormatting sqref="ES64">
    <cfRule type="expression" dxfId="1399" priority="20102" stopIfTrue="1">
      <formula>$ES$65=2</formula>
    </cfRule>
  </conditionalFormatting>
  <conditionalFormatting sqref="ES65">
    <cfRule type="expression" dxfId="1398" priority="20101" stopIfTrue="1">
      <formula>$ES$64=2</formula>
    </cfRule>
  </conditionalFormatting>
  <conditionalFormatting sqref="ES64:ES65">
    <cfRule type="expression" dxfId="1397" priority="20096" stopIfTrue="1">
      <formula>NOT(AND(SUM($ES$64:$ES$65) &lt;= 3,AND(NOT($ES$64&lt;0),NOT($ES$65&lt;0)),NOT(AND($ES$64=0,$ES$65=3)),NOT(AND($ES$64=3,$ES$65=0))))</formula>
    </cfRule>
  </conditionalFormatting>
  <conditionalFormatting sqref="EW64:EW65">
    <cfRule type="cellIs" dxfId="1396" priority="20099" stopIfTrue="1" operator="equal">
      <formula>2</formula>
    </cfRule>
  </conditionalFormatting>
  <conditionalFormatting sqref="EW64">
    <cfRule type="expression" dxfId="1395" priority="20098" stopIfTrue="1">
      <formula>$EW$65=2</formula>
    </cfRule>
  </conditionalFormatting>
  <conditionalFormatting sqref="EW65">
    <cfRule type="expression" dxfId="1394" priority="20097" stopIfTrue="1">
      <formula>$EW$64=2</formula>
    </cfRule>
  </conditionalFormatting>
  <conditionalFormatting sqref="EW64:EW65">
    <cfRule type="expression" dxfId="1393" priority="20092" stopIfTrue="1">
      <formula>NOT(AND(SUM($EW$64:$EW$65) &lt;= 3,AND(NOT($EW$64&lt;0),NOT($EW$65&lt;0)),NOT(AND($EW$64=0,$EW$65=3)),NOT(AND($EW$64=3,$EW$65=0))))</formula>
    </cfRule>
  </conditionalFormatting>
  <conditionalFormatting sqref="FA64:FA65">
    <cfRule type="cellIs" dxfId="1392" priority="20095" stopIfTrue="1" operator="equal">
      <formula>2</formula>
    </cfRule>
  </conditionalFormatting>
  <conditionalFormatting sqref="FA64">
    <cfRule type="expression" dxfId="1391" priority="20094" stopIfTrue="1">
      <formula>$FA$65=2</formula>
    </cfRule>
  </conditionalFormatting>
  <conditionalFormatting sqref="FA65">
    <cfRule type="expression" dxfId="1390" priority="20093" stopIfTrue="1">
      <formula>$FA$64=2</formula>
    </cfRule>
  </conditionalFormatting>
  <conditionalFormatting sqref="FA64:FA65">
    <cfRule type="expression" dxfId="1389" priority="20088" stopIfTrue="1">
      <formula>NOT(AND(SUM($FA$64:$FA$65) &lt;= 3,AND(NOT($FA$64&lt;0),NOT($FA$65&lt;0)),NOT(AND($FA$64=0,$FA$65=3)),NOT(AND($FA$64=3,$FA$65=0))))</formula>
    </cfRule>
  </conditionalFormatting>
  <conditionalFormatting sqref="FE64:FE65">
    <cfRule type="cellIs" dxfId="1388" priority="20091" stopIfTrue="1" operator="equal">
      <formula>2</formula>
    </cfRule>
  </conditionalFormatting>
  <conditionalFormatting sqref="FE64">
    <cfRule type="expression" dxfId="1387" priority="20090" stopIfTrue="1">
      <formula>$FE$65=2</formula>
    </cfRule>
  </conditionalFormatting>
  <conditionalFormatting sqref="FE65">
    <cfRule type="expression" dxfId="1386" priority="20089" stopIfTrue="1">
      <formula>$FE$64=2</formula>
    </cfRule>
  </conditionalFormatting>
  <conditionalFormatting sqref="FE64:FE65">
    <cfRule type="expression" dxfId="1385" priority="20084" stopIfTrue="1">
      <formula>NOT(AND(SUM($FE$64:$FE$65) &lt;= 3,AND(NOT($FE$64&lt;0),NOT($FE$65&lt;0)),NOT(AND($FE$64=0,$FE$65=3)),NOT(AND($FE$64=3,$FE$65=0))))</formula>
    </cfRule>
  </conditionalFormatting>
  <conditionalFormatting sqref="FI64:FI65">
    <cfRule type="cellIs" dxfId="1384" priority="20087" stopIfTrue="1" operator="equal">
      <formula>2</formula>
    </cfRule>
  </conditionalFormatting>
  <conditionalFormatting sqref="FI64">
    <cfRule type="expression" dxfId="1383" priority="20086" stopIfTrue="1">
      <formula>$FI$65=2</formula>
    </cfRule>
  </conditionalFormatting>
  <conditionalFormatting sqref="FI65">
    <cfRule type="expression" dxfId="1382" priority="20085" stopIfTrue="1">
      <formula>$FI$64=2</formula>
    </cfRule>
  </conditionalFormatting>
  <conditionalFormatting sqref="FI64:FI65">
    <cfRule type="expression" dxfId="1381" priority="20080" stopIfTrue="1">
      <formula>NOT(AND(SUM($FI$64:$FI$65) &lt;= 3,AND(NOT($FI$64&lt;0),NOT($FI$65&lt;0)),NOT(AND($FI$64=0,$FI$65=3)),NOT(AND($FI$64=3,$FI$65=0))))</formula>
    </cfRule>
  </conditionalFormatting>
  <conditionalFormatting sqref="FM64:FM65">
    <cfRule type="cellIs" dxfId="1380" priority="20083" stopIfTrue="1" operator="equal">
      <formula>2</formula>
    </cfRule>
  </conditionalFormatting>
  <conditionalFormatting sqref="FM64">
    <cfRule type="expression" dxfId="1379" priority="20082" stopIfTrue="1">
      <formula>$FM$65=2</formula>
    </cfRule>
  </conditionalFormatting>
  <conditionalFormatting sqref="FM65">
    <cfRule type="expression" dxfId="1378" priority="20081" stopIfTrue="1">
      <formula>$FM$64=2</formula>
    </cfRule>
  </conditionalFormatting>
  <conditionalFormatting sqref="FM64:FM65">
    <cfRule type="expression" dxfId="1377" priority="20076" stopIfTrue="1">
      <formula>NOT(AND(SUM($FM$64:$FM$65) &lt;= 3,AND(NOT($FM$64&lt;0),NOT($FM$65&lt;0)),NOT(AND($FM$64=0,$FM$65=3)),NOT(AND($FM$64=3,$FM$65=0))))</formula>
    </cfRule>
  </conditionalFormatting>
  <conditionalFormatting sqref="DY68:DY69">
    <cfRule type="cellIs" dxfId="1376" priority="20043" stopIfTrue="1" operator="equal">
      <formula>2</formula>
    </cfRule>
  </conditionalFormatting>
  <conditionalFormatting sqref="DY68">
    <cfRule type="expression" dxfId="1375" priority="20042" stopIfTrue="1">
      <formula>$DY$69=2</formula>
    </cfRule>
  </conditionalFormatting>
  <conditionalFormatting sqref="DY69">
    <cfRule type="expression" dxfId="1374" priority="20041" stopIfTrue="1">
      <formula>$DY$68=2</formula>
    </cfRule>
  </conditionalFormatting>
  <conditionalFormatting sqref="DY68:DY69">
    <cfRule type="expression" dxfId="1373" priority="20036" stopIfTrue="1">
      <formula>NOT(AND(SUM($DY$68:$DY$69) &lt;= 3,AND(NOT($DY$68&lt;0),NOT($DY$69&lt;0)),NOT(AND($DY$68=0,$DY$69=3)),NOT(AND($DY$68=3,$DY$69=0))))</formula>
    </cfRule>
  </conditionalFormatting>
  <conditionalFormatting sqref="EC68:EC69">
    <cfRule type="cellIs" dxfId="1372" priority="20039" stopIfTrue="1" operator="equal">
      <formula>2</formula>
    </cfRule>
  </conditionalFormatting>
  <conditionalFormatting sqref="EC68">
    <cfRule type="expression" dxfId="1371" priority="20038" stopIfTrue="1">
      <formula>$EC$69=2</formula>
    </cfRule>
  </conditionalFormatting>
  <conditionalFormatting sqref="EC69">
    <cfRule type="expression" dxfId="1370" priority="20037" stopIfTrue="1">
      <formula>$EC$68=2</formula>
    </cfRule>
  </conditionalFormatting>
  <conditionalFormatting sqref="EC68:EC69">
    <cfRule type="expression" dxfId="1369" priority="20032" stopIfTrue="1">
      <formula>NOT(AND(SUM($EC$68:$EC$69) &lt;= 3,AND(NOT($EC$68&lt;0),NOT($EC$69&lt;0)),NOT(AND($EC$68=0,$EC$69=3)),NOT(AND($EC$68=3,$EC$69=0))))</formula>
    </cfRule>
  </conditionalFormatting>
  <conditionalFormatting sqref="EG68:EG69">
    <cfRule type="cellIs" dxfId="1368" priority="20035" stopIfTrue="1" operator="equal">
      <formula>2</formula>
    </cfRule>
  </conditionalFormatting>
  <conditionalFormatting sqref="EG68">
    <cfRule type="expression" dxfId="1367" priority="20034" stopIfTrue="1">
      <formula>$EG$69=2</formula>
    </cfRule>
  </conditionalFormatting>
  <conditionalFormatting sqref="EG69">
    <cfRule type="expression" dxfId="1366" priority="20033" stopIfTrue="1">
      <formula>$EG$68=2</formula>
    </cfRule>
  </conditionalFormatting>
  <conditionalFormatting sqref="EG68:EG69">
    <cfRule type="expression" dxfId="1365" priority="20028" stopIfTrue="1">
      <formula>NOT(AND(SUM($EG$68:$EG$69) &lt;= 3,AND(NOT($EG$68&lt;0),NOT($EG$69&lt;0)),NOT(AND($EG$68=0,$EG$69=3)),NOT(AND($EG$68=3,$EG$69=0))))</formula>
    </cfRule>
  </conditionalFormatting>
  <conditionalFormatting sqref="EK68:EK69">
    <cfRule type="cellIs" dxfId="1364" priority="20031" stopIfTrue="1" operator="equal">
      <formula>2</formula>
    </cfRule>
  </conditionalFormatting>
  <conditionalFormatting sqref="EK68">
    <cfRule type="expression" dxfId="1363" priority="20030" stopIfTrue="1">
      <formula>$EK$69=2</formula>
    </cfRule>
  </conditionalFormatting>
  <conditionalFormatting sqref="EK69">
    <cfRule type="expression" dxfId="1362" priority="20029" stopIfTrue="1">
      <formula>$EK$68=2</formula>
    </cfRule>
  </conditionalFormatting>
  <conditionalFormatting sqref="EK68:EK69">
    <cfRule type="expression" dxfId="1361" priority="20024" stopIfTrue="1">
      <formula>NOT(AND(SUM($EK$68:$EK$69) &lt;= 3,AND(NOT($EK$68&lt;0),NOT($EK$69&lt;0)),NOT(AND($EK$68=0,$EK$69=3)),NOT(AND($EK$68=3,$EK$69=0))))</formula>
    </cfRule>
  </conditionalFormatting>
  <conditionalFormatting sqref="EO68:EO69">
    <cfRule type="cellIs" dxfId="1360" priority="20027" stopIfTrue="1" operator="equal">
      <formula>2</formula>
    </cfRule>
  </conditionalFormatting>
  <conditionalFormatting sqref="EO68">
    <cfRule type="expression" dxfId="1359" priority="20026" stopIfTrue="1">
      <formula>$EO$69=2</formula>
    </cfRule>
  </conditionalFormatting>
  <conditionalFormatting sqref="EO69">
    <cfRule type="expression" dxfId="1358" priority="20025" stopIfTrue="1">
      <formula>$EO$68=2</formula>
    </cfRule>
  </conditionalFormatting>
  <conditionalFormatting sqref="EO68:EO69">
    <cfRule type="expression" dxfId="1357" priority="20020" stopIfTrue="1">
      <formula>NOT(AND(SUM($EO$68:$EO$69) &lt;= 3,AND(NOT($EO$68&lt;0),NOT($EO$69&lt;0)),NOT(AND($EO$68=0,$EO$69=3)),NOT(AND($EO$68=3,$EO$69=0))))</formula>
    </cfRule>
  </conditionalFormatting>
  <conditionalFormatting sqref="ES68:ES69">
    <cfRule type="cellIs" dxfId="1356" priority="20023" stopIfTrue="1" operator="equal">
      <formula>2</formula>
    </cfRule>
  </conditionalFormatting>
  <conditionalFormatting sqref="ES68">
    <cfRule type="expression" dxfId="1355" priority="20022" stopIfTrue="1">
      <formula>$ES$69=2</formula>
    </cfRule>
  </conditionalFormatting>
  <conditionalFormatting sqref="ES69">
    <cfRule type="expression" dxfId="1354" priority="20021" stopIfTrue="1">
      <formula>$ES$68=2</formula>
    </cfRule>
  </conditionalFormatting>
  <conditionalFormatting sqref="ES68:ES69">
    <cfRule type="expression" dxfId="1353" priority="20016" stopIfTrue="1">
      <formula>NOT(AND(SUM($ES$68:$ES$69) &lt;= 3,AND(NOT($ES$68&lt;0),NOT($ES$69&lt;0)),NOT(AND($ES$68=0,$ES$69=3)),NOT(AND($ES$68=3,$ES$69=0))))</formula>
    </cfRule>
  </conditionalFormatting>
  <conditionalFormatting sqref="EW68:EW69">
    <cfRule type="cellIs" dxfId="1352" priority="20019" stopIfTrue="1" operator="equal">
      <formula>2</formula>
    </cfRule>
  </conditionalFormatting>
  <conditionalFormatting sqref="EW68">
    <cfRule type="expression" dxfId="1351" priority="20018" stopIfTrue="1">
      <formula>$EW$69=2</formula>
    </cfRule>
  </conditionalFormatting>
  <conditionalFormatting sqref="EW69">
    <cfRule type="expression" dxfId="1350" priority="20017" stopIfTrue="1">
      <formula>$EW$68=2</formula>
    </cfRule>
  </conditionalFormatting>
  <conditionalFormatting sqref="EW68:EW69">
    <cfRule type="expression" dxfId="1349" priority="20012" stopIfTrue="1">
      <formula>NOT(AND(SUM($EW$68:$EW$69) &lt;= 3,AND(NOT($EW$68&lt;0),NOT($EW$69&lt;0)),NOT(AND($EW$68=0,$EW$69=3)),NOT(AND($EW$68=3,$EW$69=0))))</formula>
    </cfRule>
  </conditionalFormatting>
  <conditionalFormatting sqref="FA68:FA69">
    <cfRule type="cellIs" dxfId="1348" priority="20015" stopIfTrue="1" operator="equal">
      <formula>2</formula>
    </cfRule>
  </conditionalFormatting>
  <conditionalFormatting sqref="FA68">
    <cfRule type="expression" dxfId="1347" priority="20014" stopIfTrue="1">
      <formula>$FA$69=2</formula>
    </cfRule>
  </conditionalFormatting>
  <conditionalFormatting sqref="FA69">
    <cfRule type="expression" dxfId="1346" priority="20013" stopIfTrue="1">
      <formula>$FA$68=2</formula>
    </cfRule>
  </conditionalFormatting>
  <conditionalFormatting sqref="FA68:FA69">
    <cfRule type="expression" dxfId="1345" priority="20008" stopIfTrue="1">
      <formula>NOT(AND(SUM($FA$68:$FA$69) &lt;= 3,AND(NOT($FA$68&lt;0),NOT($FA$69&lt;0)),NOT(AND($FA$68=0,$FA$69=3)),NOT(AND($FA$68=3,$FA$69=0))))</formula>
    </cfRule>
  </conditionalFormatting>
  <conditionalFormatting sqref="FE68:FE69">
    <cfRule type="cellIs" dxfId="1344" priority="20011" stopIfTrue="1" operator="equal">
      <formula>2</formula>
    </cfRule>
  </conditionalFormatting>
  <conditionalFormatting sqref="FE68">
    <cfRule type="expression" dxfId="1343" priority="20010" stopIfTrue="1">
      <formula>$FE$69=2</formula>
    </cfRule>
  </conditionalFormatting>
  <conditionalFormatting sqref="FE69">
    <cfRule type="expression" dxfId="1342" priority="20009" stopIfTrue="1">
      <formula>$FE$68=2</formula>
    </cfRule>
  </conditionalFormatting>
  <conditionalFormatting sqref="FE68:FE69">
    <cfRule type="expression" dxfId="1341" priority="20004" stopIfTrue="1">
      <formula>NOT(AND(SUM($FE$68:$FE$69) &lt;= 3,AND(NOT($FE$68&lt;0),NOT($FE$69&lt;0)),NOT(AND($FE$68=0,$FE$69=3)),NOT(AND($FE$68=3,$FE$69=0))))</formula>
    </cfRule>
  </conditionalFormatting>
  <conditionalFormatting sqref="FI68:FI69">
    <cfRule type="cellIs" dxfId="1340" priority="20007" stopIfTrue="1" operator="equal">
      <formula>2</formula>
    </cfRule>
  </conditionalFormatting>
  <conditionalFormatting sqref="FI68">
    <cfRule type="expression" dxfId="1339" priority="20006" stopIfTrue="1">
      <formula>$FI$69=2</formula>
    </cfRule>
  </conditionalFormatting>
  <conditionalFormatting sqref="FI69">
    <cfRule type="expression" dxfId="1338" priority="20005" stopIfTrue="1">
      <formula>$FI$68=2</formula>
    </cfRule>
  </conditionalFormatting>
  <conditionalFormatting sqref="FI68:FI69">
    <cfRule type="expression" dxfId="1337" priority="20000" stopIfTrue="1">
      <formula>NOT(AND(SUM($FI$68:$FI$69) &lt;= 3,AND(NOT($FI$68&lt;0),NOT($FI$69&lt;0)),NOT(AND($FI$68=0,$FI$69=3)),NOT(AND($FI$68=3,$FI$69=0))))</formula>
    </cfRule>
  </conditionalFormatting>
  <conditionalFormatting sqref="FM68:FM69">
    <cfRule type="cellIs" dxfId="1336" priority="20003" stopIfTrue="1" operator="equal">
      <formula>2</formula>
    </cfRule>
  </conditionalFormatting>
  <conditionalFormatting sqref="FM68">
    <cfRule type="expression" dxfId="1335" priority="20002" stopIfTrue="1">
      <formula>$FM$69=2</formula>
    </cfRule>
  </conditionalFormatting>
  <conditionalFormatting sqref="FM69">
    <cfRule type="expression" dxfId="1334" priority="20001" stopIfTrue="1">
      <formula>$FM$68=2</formula>
    </cfRule>
  </conditionalFormatting>
  <conditionalFormatting sqref="FM68:FM69">
    <cfRule type="expression" dxfId="1333" priority="19996" stopIfTrue="1">
      <formula>NOT(AND(SUM($FM$68:$FM$69) &lt;= 3,AND(NOT($FM$68&lt;0),NOT($FM$69&lt;0)),NOT(AND($FM$68=0,$FM$69=3)),NOT(AND($FM$68=3,$FM$69=0))))</formula>
    </cfRule>
  </conditionalFormatting>
  <conditionalFormatting sqref="DY72:DY73">
    <cfRule type="cellIs" dxfId="1332" priority="19963" stopIfTrue="1" operator="equal">
      <formula>2</formula>
    </cfRule>
  </conditionalFormatting>
  <conditionalFormatting sqref="DY72">
    <cfRule type="expression" dxfId="1331" priority="19962" stopIfTrue="1">
      <formula>$DY$73=2</formula>
    </cfRule>
  </conditionalFormatting>
  <conditionalFormatting sqref="DY73">
    <cfRule type="expression" dxfId="1330" priority="19961" stopIfTrue="1">
      <formula>$DY$72=2</formula>
    </cfRule>
  </conditionalFormatting>
  <conditionalFormatting sqref="DY72:DY73">
    <cfRule type="expression" dxfId="1329" priority="19956" stopIfTrue="1">
      <formula>NOT(AND(SUM($DY$72:$DY$73) &lt;= 3,AND(NOT($DY$72&lt;0),NOT($DY$73&lt;0)),NOT(AND($DY$72=0,$DY$73=3)),NOT(AND($DY$72=3,$DY$73=0))))</formula>
    </cfRule>
  </conditionalFormatting>
  <conditionalFormatting sqref="EC72:EC73">
    <cfRule type="cellIs" dxfId="1328" priority="19959" stopIfTrue="1" operator="equal">
      <formula>2</formula>
    </cfRule>
  </conditionalFormatting>
  <conditionalFormatting sqref="EC72">
    <cfRule type="expression" dxfId="1327" priority="19958" stopIfTrue="1">
      <formula>$EC$73=2</formula>
    </cfRule>
  </conditionalFormatting>
  <conditionalFormatting sqref="EC73">
    <cfRule type="expression" dxfId="1326" priority="19957" stopIfTrue="1">
      <formula>$EC$72=2</formula>
    </cfRule>
  </conditionalFormatting>
  <conditionalFormatting sqref="EC72:EC73">
    <cfRule type="expression" dxfId="1325" priority="19952" stopIfTrue="1">
      <formula>NOT(AND(SUM($EC$72:$EC$73) &lt;= 3,AND(NOT($EC$72&lt;0),NOT($EC$73&lt;0)),NOT(AND($EC$72=0,$EC$73=3)),NOT(AND($EC$72=3,$EC$73=0))))</formula>
    </cfRule>
  </conditionalFormatting>
  <conditionalFormatting sqref="EG72:EG73">
    <cfRule type="cellIs" dxfId="1324" priority="19955" stopIfTrue="1" operator="equal">
      <formula>2</formula>
    </cfRule>
  </conditionalFormatting>
  <conditionalFormatting sqref="EG72">
    <cfRule type="expression" dxfId="1323" priority="19954" stopIfTrue="1">
      <formula>$EG$73=2</formula>
    </cfRule>
  </conditionalFormatting>
  <conditionalFormatting sqref="EG73">
    <cfRule type="expression" dxfId="1322" priority="19953" stopIfTrue="1">
      <formula>$EG$72=2</formula>
    </cfRule>
  </conditionalFormatting>
  <conditionalFormatting sqref="EG72:EG73">
    <cfRule type="expression" dxfId="1321" priority="19948" stopIfTrue="1">
      <formula>NOT(AND(SUM($EG$72:$EG$73) &lt;= 3,AND(NOT($EG$72&lt;0),NOT($EG$73&lt;0)),NOT(AND($EG$72=0,$EG$73=3)),NOT(AND($EG$72=3,$EG$73=0))))</formula>
    </cfRule>
  </conditionalFormatting>
  <conditionalFormatting sqref="EK72:EK73">
    <cfRule type="cellIs" dxfId="1320" priority="19951" stopIfTrue="1" operator="equal">
      <formula>2</formula>
    </cfRule>
  </conditionalFormatting>
  <conditionalFormatting sqref="EK72">
    <cfRule type="expression" dxfId="1319" priority="19950" stopIfTrue="1">
      <formula>$EK$73=2</formula>
    </cfRule>
  </conditionalFormatting>
  <conditionalFormatting sqref="EK73">
    <cfRule type="expression" dxfId="1318" priority="19949" stopIfTrue="1">
      <formula>$EK$72=2</formula>
    </cfRule>
  </conditionalFormatting>
  <conditionalFormatting sqref="EK72:EK73">
    <cfRule type="expression" dxfId="1317" priority="19944" stopIfTrue="1">
      <formula>NOT(AND(SUM($EK$72:$EK$73) &lt;= 3,AND(NOT($EK$72&lt;0),NOT($EK$73&lt;0)),NOT(AND($EK$72=0,$EK$73=3)),NOT(AND($EK$72=3,$EK$73=0))))</formula>
    </cfRule>
  </conditionalFormatting>
  <conditionalFormatting sqref="EO72:EO73">
    <cfRule type="cellIs" dxfId="1316" priority="19947" stopIfTrue="1" operator="equal">
      <formula>2</formula>
    </cfRule>
  </conditionalFormatting>
  <conditionalFormatting sqref="EO72">
    <cfRule type="expression" dxfId="1315" priority="19946" stopIfTrue="1">
      <formula>$EO$73=2</formula>
    </cfRule>
  </conditionalFormatting>
  <conditionalFormatting sqref="EO73">
    <cfRule type="expression" dxfId="1314" priority="19945" stopIfTrue="1">
      <formula>$EO$72=2</formula>
    </cfRule>
  </conditionalFormatting>
  <conditionalFormatting sqref="EO72:EO73">
    <cfRule type="expression" dxfId="1313" priority="19940" stopIfTrue="1">
      <formula>NOT(AND(SUM($EO$72:$EO$73) &lt;= 3,AND(NOT($EO$72&lt;0),NOT($EO$73&lt;0)),NOT(AND($EO$72=0,$EO$73=3)),NOT(AND($EO$72=3,$EO$73=0))))</formula>
    </cfRule>
  </conditionalFormatting>
  <conditionalFormatting sqref="ES72:ES73">
    <cfRule type="cellIs" dxfId="1312" priority="19943" stopIfTrue="1" operator="equal">
      <formula>2</formula>
    </cfRule>
  </conditionalFormatting>
  <conditionalFormatting sqref="ES72">
    <cfRule type="expression" dxfId="1311" priority="19942" stopIfTrue="1">
      <formula>$ES$73=2</formula>
    </cfRule>
  </conditionalFormatting>
  <conditionalFormatting sqref="ES73">
    <cfRule type="expression" dxfId="1310" priority="19941" stopIfTrue="1">
      <formula>$ES$72=2</formula>
    </cfRule>
  </conditionalFormatting>
  <conditionalFormatting sqref="ES72:ES73">
    <cfRule type="expression" dxfId="1309" priority="19936" stopIfTrue="1">
      <formula>NOT(AND(SUM($ES$72:$ES$73) &lt;= 3,AND(NOT($ES$72&lt;0),NOT($ES$73&lt;0)),NOT(AND($ES$72=0,$ES$73=3)),NOT(AND($ES$72=3,$ES$73=0))))</formula>
    </cfRule>
  </conditionalFormatting>
  <conditionalFormatting sqref="EW72:EW73">
    <cfRule type="cellIs" dxfId="1308" priority="19939" stopIfTrue="1" operator="equal">
      <formula>2</formula>
    </cfRule>
  </conditionalFormatting>
  <conditionalFormatting sqref="EW72">
    <cfRule type="expression" dxfId="1307" priority="19938" stopIfTrue="1">
      <formula>$EW$73=2</formula>
    </cfRule>
  </conditionalFormatting>
  <conditionalFormatting sqref="EW73">
    <cfRule type="expression" dxfId="1306" priority="19937" stopIfTrue="1">
      <formula>$EW$72=2</formula>
    </cfRule>
  </conditionalFormatting>
  <conditionalFormatting sqref="EW72:EW73">
    <cfRule type="expression" dxfId="1305" priority="19932" stopIfTrue="1">
      <formula>NOT(AND(SUM($EW$72:$EW$73) &lt;= 3,AND(NOT($EW$72&lt;0),NOT($EW$73&lt;0)),NOT(AND($EW$72=0,$EW$73=3)),NOT(AND($EW$72=3,$EW$73=0))))</formula>
    </cfRule>
  </conditionalFormatting>
  <conditionalFormatting sqref="FA72:FA73">
    <cfRule type="cellIs" dxfId="1304" priority="19935" stopIfTrue="1" operator="equal">
      <formula>2</formula>
    </cfRule>
  </conditionalFormatting>
  <conditionalFormatting sqref="FA72">
    <cfRule type="expression" dxfId="1303" priority="19934" stopIfTrue="1">
      <formula>$FA$73=2</formula>
    </cfRule>
  </conditionalFormatting>
  <conditionalFormatting sqref="FA73">
    <cfRule type="expression" dxfId="1302" priority="19933" stopIfTrue="1">
      <formula>$FA$72=2</formula>
    </cfRule>
  </conditionalFormatting>
  <conditionalFormatting sqref="FA72:FA73">
    <cfRule type="expression" dxfId="1301" priority="19928" stopIfTrue="1">
      <formula>NOT(AND(SUM($FA$72:$FA$73) &lt;= 3,AND(NOT($FA$72&lt;0),NOT($FA$73&lt;0)),NOT(AND($FA$72=0,$FA$73=3)),NOT(AND($FA$72=3,$FA$73=0))))</formula>
    </cfRule>
  </conditionalFormatting>
  <conditionalFormatting sqref="FE72:FE73">
    <cfRule type="cellIs" dxfId="1300" priority="19931" stopIfTrue="1" operator="equal">
      <formula>2</formula>
    </cfRule>
  </conditionalFormatting>
  <conditionalFormatting sqref="FE72">
    <cfRule type="expression" dxfId="1299" priority="19930" stopIfTrue="1">
      <formula>$FE$73=2</formula>
    </cfRule>
  </conditionalFormatting>
  <conditionalFormatting sqref="FE73">
    <cfRule type="expression" dxfId="1298" priority="19929" stopIfTrue="1">
      <formula>$FE$72=2</formula>
    </cfRule>
  </conditionalFormatting>
  <conditionalFormatting sqref="FE72:FE73">
    <cfRule type="expression" dxfId="1297" priority="19924" stopIfTrue="1">
      <formula>NOT(AND(SUM($FE$72:$FE$73) &lt;= 3,AND(NOT($FE$72&lt;0),NOT($FE$73&lt;0)),NOT(AND($FE$72=0,$FE$73=3)),NOT(AND($FE$72=3,$FE$73=0))))</formula>
    </cfRule>
  </conditionalFormatting>
  <conditionalFormatting sqref="FI72:FI73">
    <cfRule type="cellIs" dxfId="1296" priority="19927" stopIfTrue="1" operator="equal">
      <formula>2</formula>
    </cfRule>
  </conditionalFormatting>
  <conditionalFormatting sqref="FI72">
    <cfRule type="expression" dxfId="1295" priority="19926" stopIfTrue="1">
      <formula>$FI$73=2</formula>
    </cfRule>
  </conditionalFormatting>
  <conditionalFormatting sqref="FI73">
    <cfRule type="expression" dxfId="1294" priority="19925" stopIfTrue="1">
      <formula>$FI$72=2</formula>
    </cfRule>
  </conditionalFormatting>
  <conditionalFormatting sqref="FI72:FI73">
    <cfRule type="expression" dxfId="1293" priority="19920" stopIfTrue="1">
      <formula>NOT(AND(SUM($FI$72:$FI$73) &lt;= 3,AND(NOT($FI$72&lt;0),NOT($FI$73&lt;0)),NOT(AND($FI$72=0,$FI$73=3)),NOT(AND($FI$72=3,$FI$73=0))))</formula>
    </cfRule>
  </conditionalFormatting>
  <conditionalFormatting sqref="FM72:FM73">
    <cfRule type="cellIs" dxfId="1292" priority="19923" stopIfTrue="1" operator="equal">
      <formula>2</formula>
    </cfRule>
  </conditionalFormatting>
  <conditionalFormatting sqref="FM72">
    <cfRule type="expression" dxfId="1291" priority="19922" stopIfTrue="1">
      <formula>$FM$73=2</formula>
    </cfRule>
  </conditionalFormatting>
  <conditionalFormatting sqref="FM73">
    <cfRule type="expression" dxfId="1290" priority="19921" stopIfTrue="1">
      <formula>$FM$72=2</formula>
    </cfRule>
  </conditionalFormatting>
  <conditionalFormatting sqref="FM72:FM73">
    <cfRule type="expression" dxfId="1289" priority="19916" stopIfTrue="1">
      <formula>NOT(AND(SUM($FM$72:$FM$73) &lt;= 3,AND(NOT($FM$72&lt;0),NOT($FM$73&lt;0)),NOT(AND($FM$72=0,$FM$73=3)),NOT(AND($FM$72=3,$FM$73=0))))</formula>
    </cfRule>
  </conditionalFormatting>
  <conditionalFormatting sqref="DY76:DY77">
    <cfRule type="cellIs" dxfId="1288" priority="19883" stopIfTrue="1" operator="equal">
      <formula>2</formula>
    </cfRule>
  </conditionalFormatting>
  <conditionalFormatting sqref="DY76">
    <cfRule type="expression" dxfId="1287" priority="19882" stopIfTrue="1">
      <formula>$DY$77=2</formula>
    </cfRule>
  </conditionalFormatting>
  <conditionalFormatting sqref="DY77">
    <cfRule type="expression" dxfId="1286" priority="19881" stopIfTrue="1">
      <formula>$DY$76=2</formula>
    </cfRule>
  </conditionalFormatting>
  <conditionalFormatting sqref="DY76:DY77">
    <cfRule type="expression" dxfId="1285" priority="19876" stopIfTrue="1">
      <formula>NOT(AND(SUM($DY$76:$DY$77) &lt;= 3,AND(NOT($DY$76&lt;0),NOT($DY$77&lt;0)),NOT(AND($DY$76=0,$DY$77=3)),NOT(AND($DY$76=3,$DY$77=0))))</formula>
    </cfRule>
  </conditionalFormatting>
  <conditionalFormatting sqref="EC76:EC77">
    <cfRule type="cellIs" dxfId="1284" priority="19879" stopIfTrue="1" operator="equal">
      <formula>2</formula>
    </cfRule>
  </conditionalFormatting>
  <conditionalFormatting sqref="EC76">
    <cfRule type="expression" dxfId="1283" priority="19878" stopIfTrue="1">
      <formula>$EC$77=2</formula>
    </cfRule>
  </conditionalFormatting>
  <conditionalFormatting sqref="EC77">
    <cfRule type="expression" dxfId="1282" priority="19877" stopIfTrue="1">
      <formula>$EC$76=2</formula>
    </cfRule>
  </conditionalFormatting>
  <conditionalFormatting sqref="EC76:EC77">
    <cfRule type="expression" dxfId="1281" priority="19872" stopIfTrue="1">
      <formula>NOT(AND(SUM($EC$76:$EC$77) &lt;= 3,AND(NOT($EC$76&lt;0),NOT($EC$77&lt;0)),NOT(AND($EC$76=0,$EC$77=3)),NOT(AND($EC$76=3,$EC$77=0))))</formula>
    </cfRule>
  </conditionalFormatting>
  <conditionalFormatting sqref="EG76:EG77">
    <cfRule type="cellIs" dxfId="1280" priority="19875" stopIfTrue="1" operator="equal">
      <formula>2</formula>
    </cfRule>
  </conditionalFormatting>
  <conditionalFormatting sqref="EG76">
    <cfRule type="expression" dxfId="1279" priority="19874" stopIfTrue="1">
      <formula>$EG$77=2</formula>
    </cfRule>
  </conditionalFormatting>
  <conditionalFormatting sqref="EG77">
    <cfRule type="expression" dxfId="1278" priority="19873" stopIfTrue="1">
      <formula>$EG$76=2</formula>
    </cfRule>
  </conditionalFormatting>
  <conditionalFormatting sqref="EG76:EG77">
    <cfRule type="expression" dxfId="1277" priority="19868" stopIfTrue="1">
      <formula>NOT(AND(SUM($EG$76:$EG$77) &lt;= 3,AND(NOT($EG$76&lt;0),NOT($EG$77&lt;0)),NOT(AND($EG$76=0,$EG$77=3)),NOT(AND($EG$76=3,$EG$77=0))))</formula>
    </cfRule>
  </conditionalFormatting>
  <conditionalFormatting sqref="EK76:EK77">
    <cfRule type="cellIs" dxfId="1276" priority="19871" stopIfTrue="1" operator="equal">
      <formula>2</formula>
    </cfRule>
  </conditionalFormatting>
  <conditionalFormatting sqref="EK76">
    <cfRule type="expression" dxfId="1275" priority="19870" stopIfTrue="1">
      <formula>$EK$77=2</formula>
    </cfRule>
  </conditionalFormatting>
  <conditionalFormatting sqref="EK77">
    <cfRule type="expression" dxfId="1274" priority="19869" stopIfTrue="1">
      <formula>$EK$76=2</formula>
    </cfRule>
  </conditionalFormatting>
  <conditionalFormatting sqref="EK76:EK77">
    <cfRule type="expression" dxfId="1273" priority="19864" stopIfTrue="1">
      <formula>NOT(AND(SUM($EK$76:$EK$77) &lt;= 3,AND(NOT($EK$76&lt;0),NOT($EK$77&lt;0)),NOT(AND($EK$76=0,$EK$77=3)),NOT(AND($EK$76=3,$EK$77=0))))</formula>
    </cfRule>
  </conditionalFormatting>
  <conditionalFormatting sqref="EO76:EO77">
    <cfRule type="cellIs" dxfId="1272" priority="19867" stopIfTrue="1" operator="equal">
      <formula>2</formula>
    </cfRule>
  </conditionalFormatting>
  <conditionalFormatting sqref="EO76">
    <cfRule type="expression" dxfId="1271" priority="19866" stopIfTrue="1">
      <formula>$EO$77=2</formula>
    </cfRule>
  </conditionalFormatting>
  <conditionalFormatting sqref="EO77">
    <cfRule type="expression" dxfId="1270" priority="19865" stopIfTrue="1">
      <formula>$EO$76=2</formula>
    </cfRule>
  </conditionalFormatting>
  <conditionalFormatting sqref="EO76:EO77">
    <cfRule type="expression" dxfId="1269" priority="19860" stopIfTrue="1">
      <formula>NOT(AND(SUM($EO$76:$EO$77) &lt;= 3,AND(NOT($EO$76&lt;0),NOT($EO$77&lt;0)),NOT(AND($EO$76=0,$EO$77=3)),NOT(AND($EO$76=3,$EO$77=0))))</formula>
    </cfRule>
  </conditionalFormatting>
  <conditionalFormatting sqref="ES76:ES77">
    <cfRule type="cellIs" dxfId="1268" priority="19863" stopIfTrue="1" operator="equal">
      <formula>2</formula>
    </cfRule>
  </conditionalFormatting>
  <conditionalFormatting sqref="ES76">
    <cfRule type="expression" dxfId="1267" priority="19862" stopIfTrue="1">
      <formula>$ES$77=2</formula>
    </cfRule>
  </conditionalFormatting>
  <conditionalFormatting sqref="ES77">
    <cfRule type="expression" dxfId="1266" priority="19861" stopIfTrue="1">
      <formula>$ES$76=2</formula>
    </cfRule>
  </conditionalFormatting>
  <conditionalFormatting sqref="ES76:ES77">
    <cfRule type="expression" dxfId="1265" priority="19856" stopIfTrue="1">
      <formula>NOT(AND(SUM($ES$76:$ES$77) &lt;= 3,AND(NOT($ES$76&lt;0),NOT($ES$77&lt;0)),NOT(AND($ES$76=0,$ES$77=3)),NOT(AND($ES$76=3,$ES$77=0))))</formula>
    </cfRule>
  </conditionalFormatting>
  <conditionalFormatting sqref="EW76:EW77">
    <cfRule type="cellIs" dxfId="1264" priority="19859" stopIfTrue="1" operator="equal">
      <formula>2</formula>
    </cfRule>
  </conditionalFormatting>
  <conditionalFormatting sqref="EW76">
    <cfRule type="expression" dxfId="1263" priority="19858" stopIfTrue="1">
      <formula>$EW$77=2</formula>
    </cfRule>
  </conditionalFormatting>
  <conditionalFormatting sqref="EW77">
    <cfRule type="expression" dxfId="1262" priority="19857" stopIfTrue="1">
      <formula>$EW$76=2</formula>
    </cfRule>
  </conditionalFormatting>
  <conditionalFormatting sqref="EW76:EW77">
    <cfRule type="expression" dxfId="1261" priority="19852" stopIfTrue="1">
      <formula>NOT(AND(SUM($EW$76:$EW$77) &lt;= 3,AND(NOT($EW$76&lt;0),NOT($EW$77&lt;0)),NOT(AND($EW$76=0,$EW$77=3)),NOT(AND($EW$76=3,$EW$77=0))))</formula>
    </cfRule>
  </conditionalFormatting>
  <conditionalFormatting sqref="FA76:FA77">
    <cfRule type="cellIs" dxfId="1260" priority="19855" stopIfTrue="1" operator="equal">
      <formula>2</formula>
    </cfRule>
  </conditionalFormatting>
  <conditionalFormatting sqref="FA76">
    <cfRule type="expression" dxfId="1259" priority="19854" stopIfTrue="1">
      <formula>$FA$77=2</formula>
    </cfRule>
  </conditionalFormatting>
  <conditionalFormatting sqref="FA77">
    <cfRule type="expression" dxfId="1258" priority="19853" stopIfTrue="1">
      <formula>$FA$76=2</formula>
    </cfRule>
  </conditionalFormatting>
  <conditionalFormatting sqref="FA76:FA77">
    <cfRule type="expression" dxfId="1257" priority="19848" stopIfTrue="1">
      <formula>NOT(AND(SUM($FA$76:$FA$77) &lt;= 3,AND(NOT($FA$76&lt;0),NOT($FA$77&lt;0)),NOT(AND($FA$76=0,$FA$77=3)),NOT(AND($FA$76=3,$FA$77=0))))</formula>
    </cfRule>
  </conditionalFormatting>
  <conditionalFormatting sqref="FE76:FE77">
    <cfRule type="cellIs" dxfId="1256" priority="19851" stopIfTrue="1" operator="equal">
      <formula>2</formula>
    </cfRule>
  </conditionalFormatting>
  <conditionalFormatting sqref="FE76">
    <cfRule type="expression" dxfId="1255" priority="19850" stopIfTrue="1">
      <formula>$FE$77=2</formula>
    </cfRule>
  </conditionalFormatting>
  <conditionalFormatting sqref="FE77">
    <cfRule type="expression" dxfId="1254" priority="19849" stopIfTrue="1">
      <formula>$FE$76=2</formula>
    </cfRule>
  </conditionalFormatting>
  <conditionalFormatting sqref="FE76:FE77">
    <cfRule type="expression" dxfId="1253" priority="19844" stopIfTrue="1">
      <formula>NOT(AND(SUM($FE$76:$FE$77) &lt;= 3,AND(NOT($FE$76&lt;0),NOT($FE$77&lt;0)),NOT(AND($FE$76=0,$FE$77=3)),NOT(AND($FE$76=3,$FE$77=0))))</formula>
    </cfRule>
  </conditionalFormatting>
  <conditionalFormatting sqref="FI76:FI77">
    <cfRule type="cellIs" dxfId="1252" priority="19847" stopIfTrue="1" operator="equal">
      <formula>2</formula>
    </cfRule>
  </conditionalFormatting>
  <conditionalFormatting sqref="FI76">
    <cfRule type="expression" dxfId="1251" priority="19846" stopIfTrue="1">
      <formula>$FI$77=2</formula>
    </cfRule>
  </conditionalFormatting>
  <conditionalFormatting sqref="FI77">
    <cfRule type="expression" dxfId="1250" priority="19845" stopIfTrue="1">
      <formula>$FI$76=2</formula>
    </cfRule>
  </conditionalFormatting>
  <conditionalFormatting sqref="FI76:FI77">
    <cfRule type="expression" dxfId="1249" priority="19840" stopIfTrue="1">
      <formula>NOT(AND(SUM($FI$76:$FI$77) &lt;= 3,AND(NOT($FI$76&lt;0),NOT($FI$77&lt;0)),NOT(AND($FI$76=0,$FI$77=3)),NOT(AND($FI$76=3,$FI$77=0))))</formula>
    </cfRule>
  </conditionalFormatting>
  <conditionalFormatting sqref="FM76:FM77">
    <cfRule type="cellIs" dxfId="1248" priority="19843" stopIfTrue="1" operator="equal">
      <formula>2</formula>
    </cfRule>
  </conditionalFormatting>
  <conditionalFormatting sqref="FM76">
    <cfRule type="expression" dxfId="1247" priority="19842" stopIfTrue="1">
      <formula>$FM$77=2</formula>
    </cfRule>
  </conditionalFormatting>
  <conditionalFormatting sqref="FM77">
    <cfRule type="expression" dxfId="1246" priority="19841" stopIfTrue="1">
      <formula>$FM$76=2</formula>
    </cfRule>
  </conditionalFormatting>
  <conditionalFormatting sqref="FM76:FM77">
    <cfRule type="expression" dxfId="1245" priority="19836" stopIfTrue="1">
      <formula>NOT(AND(SUM($FM$76:$FM$77) &lt;= 3,AND(NOT($FM$76&lt;0),NOT($FM$77&lt;0)),NOT(AND($FM$76=0,$FM$77=3)),NOT(AND($FM$76=3,$FM$77=0))))</formula>
    </cfRule>
  </conditionalFormatting>
  <conditionalFormatting sqref="DY80:DY81">
    <cfRule type="cellIs" dxfId="1244" priority="19803" stopIfTrue="1" operator="equal">
      <formula>2</formula>
    </cfRule>
  </conditionalFormatting>
  <conditionalFormatting sqref="DY80">
    <cfRule type="expression" dxfId="1243" priority="19802" stopIfTrue="1">
      <formula>$DY$81=2</formula>
    </cfRule>
  </conditionalFormatting>
  <conditionalFormatting sqref="DY81">
    <cfRule type="expression" dxfId="1242" priority="19801" stopIfTrue="1">
      <formula>$DY$80=2</formula>
    </cfRule>
  </conditionalFormatting>
  <conditionalFormatting sqref="DY80:DY81">
    <cfRule type="expression" dxfId="1241" priority="19796" stopIfTrue="1">
      <formula>NOT(AND(SUM($DY$80:$DY$81) &lt;= 3,AND(NOT($DY$80&lt;0),NOT($DY$81&lt;0)),NOT(AND($DY$80=0,$DY$81=3)),NOT(AND($DY$80=3,$DY$81=0))))</formula>
    </cfRule>
  </conditionalFormatting>
  <conditionalFormatting sqref="EC80:EC81">
    <cfRule type="cellIs" dxfId="1240" priority="19799" stopIfTrue="1" operator="equal">
      <formula>2</formula>
    </cfRule>
  </conditionalFormatting>
  <conditionalFormatting sqref="EC80">
    <cfRule type="expression" dxfId="1239" priority="19798" stopIfTrue="1">
      <formula>$EC$81=2</formula>
    </cfRule>
  </conditionalFormatting>
  <conditionalFormatting sqref="EC81">
    <cfRule type="expression" dxfId="1238" priority="19797" stopIfTrue="1">
      <formula>$EC$80=2</formula>
    </cfRule>
  </conditionalFormatting>
  <conditionalFormatting sqref="EC80:EC81">
    <cfRule type="expression" dxfId="1237" priority="19792" stopIfTrue="1">
      <formula>NOT(AND(SUM($EC$80:$EC$81) &lt;= 3,AND(NOT($EC$80&lt;0),NOT($EC$81&lt;0)),NOT(AND($EC$80=0,$EC$81=3)),NOT(AND($EC$80=3,$EC$81=0))))</formula>
    </cfRule>
  </conditionalFormatting>
  <conditionalFormatting sqref="EG80:EG81">
    <cfRule type="cellIs" dxfId="1236" priority="19795" stopIfTrue="1" operator="equal">
      <formula>2</formula>
    </cfRule>
  </conditionalFormatting>
  <conditionalFormatting sqref="EG80">
    <cfRule type="expression" dxfId="1235" priority="19794" stopIfTrue="1">
      <formula>$EG$81=2</formula>
    </cfRule>
  </conditionalFormatting>
  <conditionalFormatting sqref="EG81">
    <cfRule type="expression" dxfId="1234" priority="19793" stopIfTrue="1">
      <formula>$EG$80=2</formula>
    </cfRule>
  </conditionalFormatting>
  <conditionalFormatting sqref="EG80:EG81">
    <cfRule type="expression" dxfId="1233" priority="19788" stopIfTrue="1">
      <formula>NOT(AND(SUM($EG$80:$EG$81) &lt;= 3,AND(NOT($EG$80&lt;0),NOT($EG$81&lt;0)),NOT(AND($EG$80=0,$EG$81=3)),NOT(AND($EG$80=3,$EG$81=0))))</formula>
    </cfRule>
  </conditionalFormatting>
  <conditionalFormatting sqref="EK80:EK81">
    <cfRule type="cellIs" dxfId="1232" priority="19791" stopIfTrue="1" operator="equal">
      <formula>2</formula>
    </cfRule>
  </conditionalFormatting>
  <conditionalFormatting sqref="EK80">
    <cfRule type="expression" dxfId="1231" priority="19790" stopIfTrue="1">
      <formula>$EK$81=2</formula>
    </cfRule>
  </conditionalFormatting>
  <conditionalFormatting sqref="EK81">
    <cfRule type="expression" dxfId="1230" priority="19789" stopIfTrue="1">
      <formula>$EK$80=2</formula>
    </cfRule>
  </conditionalFormatting>
  <conditionalFormatting sqref="EK80:EK81">
    <cfRule type="expression" dxfId="1229" priority="19784" stopIfTrue="1">
      <formula>NOT(AND(SUM($EK$80:$EK$81) &lt;= 3,AND(NOT($EK$80&lt;0),NOT($EK$81&lt;0)),NOT(AND($EK$80=0,$EK$81=3)),NOT(AND($EK$80=3,$EK$81=0))))</formula>
    </cfRule>
  </conditionalFormatting>
  <conditionalFormatting sqref="EO80:EO81">
    <cfRule type="cellIs" dxfId="1228" priority="19787" stopIfTrue="1" operator="equal">
      <formula>2</formula>
    </cfRule>
  </conditionalFormatting>
  <conditionalFormatting sqref="EO80">
    <cfRule type="expression" dxfId="1227" priority="19786" stopIfTrue="1">
      <formula>$EO$81=2</formula>
    </cfRule>
  </conditionalFormatting>
  <conditionalFormatting sqref="EO81">
    <cfRule type="expression" dxfId="1226" priority="19785" stopIfTrue="1">
      <formula>$EO$80=2</formula>
    </cfRule>
  </conditionalFormatting>
  <conditionalFormatting sqref="EO80:EO81">
    <cfRule type="expression" dxfId="1225" priority="19780" stopIfTrue="1">
      <formula>NOT(AND(SUM($EO$80:$EO$81) &lt;= 3,AND(NOT($EO$80&lt;0),NOT($EO$81&lt;0)),NOT(AND($EO$80=0,$EO$81=3)),NOT(AND($EO$80=3,$EO$81=0))))</formula>
    </cfRule>
  </conditionalFormatting>
  <conditionalFormatting sqref="ES80:ES81">
    <cfRule type="cellIs" dxfId="1224" priority="19783" stopIfTrue="1" operator="equal">
      <formula>2</formula>
    </cfRule>
  </conditionalFormatting>
  <conditionalFormatting sqref="ES80">
    <cfRule type="expression" dxfId="1223" priority="19782" stopIfTrue="1">
      <formula>$ES$81=2</formula>
    </cfRule>
  </conditionalFormatting>
  <conditionalFormatting sqref="ES81">
    <cfRule type="expression" dxfId="1222" priority="19781" stopIfTrue="1">
      <formula>$ES$80=2</formula>
    </cfRule>
  </conditionalFormatting>
  <conditionalFormatting sqref="ES80:ES81">
    <cfRule type="expression" dxfId="1221" priority="19776" stopIfTrue="1">
      <formula>NOT(AND(SUM($ES$80:$ES$81) &lt;= 3,AND(NOT($ES$80&lt;0),NOT($ES$81&lt;0)),NOT(AND($ES$80=0,$ES$81=3)),NOT(AND($ES$80=3,$ES$81=0))))</formula>
    </cfRule>
  </conditionalFormatting>
  <conditionalFormatting sqref="EW80:EW81">
    <cfRule type="cellIs" dxfId="1220" priority="19779" stopIfTrue="1" operator="equal">
      <formula>2</formula>
    </cfRule>
  </conditionalFormatting>
  <conditionalFormatting sqref="EW80">
    <cfRule type="expression" dxfId="1219" priority="19778" stopIfTrue="1">
      <formula>$EW$81=2</formula>
    </cfRule>
  </conditionalFormatting>
  <conditionalFormatting sqref="EW81">
    <cfRule type="expression" dxfId="1218" priority="19777" stopIfTrue="1">
      <formula>$EW$80=2</formula>
    </cfRule>
  </conditionalFormatting>
  <conditionalFormatting sqref="EW80:EW81">
    <cfRule type="expression" dxfId="1217" priority="19772" stopIfTrue="1">
      <formula>NOT(AND(SUM($EW$80:$EW$81) &lt;= 3,AND(NOT($EW$80&lt;0),NOT($EW$81&lt;0)),NOT(AND($EW$80=0,$EW$81=3)),NOT(AND($EW$80=3,$EW$81=0))))</formula>
    </cfRule>
  </conditionalFormatting>
  <conditionalFormatting sqref="FA80:FA81">
    <cfRule type="cellIs" dxfId="1216" priority="19775" stopIfTrue="1" operator="equal">
      <formula>2</formula>
    </cfRule>
  </conditionalFormatting>
  <conditionalFormatting sqref="FA80">
    <cfRule type="expression" dxfId="1215" priority="19774" stopIfTrue="1">
      <formula>$FA$81=2</formula>
    </cfRule>
  </conditionalFormatting>
  <conditionalFormatting sqref="FA81">
    <cfRule type="expression" dxfId="1214" priority="19773" stopIfTrue="1">
      <formula>$FA$80=2</formula>
    </cfRule>
  </conditionalFormatting>
  <conditionalFormatting sqref="FA80:FA81">
    <cfRule type="expression" dxfId="1213" priority="19768" stopIfTrue="1">
      <formula>NOT(AND(SUM($FA$80:$FA$81) &lt;= 3,AND(NOT($FA$80&lt;0),NOT($FA$81&lt;0)),NOT(AND($FA$80=0,$FA$81=3)),NOT(AND($FA$80=3,$FA$81=0))))</formula>
    </cfRule>
  </conditionalFormatting>
  <conditionalFormatting sqref="FE80:FE81">
    <cfRule type="cellIs" dxfId="1212" priority="19771" stopIfTrue="1" operator="equal">
      <formula>2</formula>
    </cfRule>
  </conditionalFormatting>
  <conditionalFormatting sqref="FE80">
    <cfRule type="expression" dxfId="1211" priority="19770" stopIfTrue="1">
      <formula>$FE$81=2</formula>
    </cfRule>
  </conditionalFormatting>
  <conditionalFormatting sqref="FE81">
    <cfRule type="expression" dxfId="1210" priority="19769" stopIfTrue="1">
      <formula>$FE$80=2</formula>
    </cfRule>
  </conditionalFormatting>
  <conditionalFormatting sqref="FE80:FE81">
    <cfRule type="expression" dxfId="1209" priority="19764" stopIfTrue="1">
      <formula>NOT(AND(SUM($FE$80:$FE$81) &lt;= 3,AND(NOT($FE$80&lt;0),NOT($FE$81&lt;0)),NOT(AND($FE$80=0,$FE$81=3)),NOT(AND($FE$80=3,$FE$81=0))))</formula>
    </cfRule>
  </conditionalFormatting>
  <conditionalFormatting sqref="FI80:FI81">
    <cfRule type="cellIs" dxfId="1208" priority="19767" stopIfTrue="1" operator="equal">
      <formula>2</formula>
    </cfRule>
  </conditionalFormatting>
  <conditionalFormatting sqref="FI80">
    <cfRule type="expression" dxfId="1207" priority="19766" stopIfTrue="1">
      <formula>$FI$81=2</formula>
    </cfRule>
  </conditionalFormatting>
  <conditionalFormatting sqref="FI81">
    <cfRule type="expression" dxfId="1206" priority="19765" stopIfTrue="1">
      <formula>$FI$80=2</formula>
    </cfRule>
  </conditionalFormatting>
  <conditionalFormatting sqref="FI80:FI81">
    <cfRule type="expression" dxfId="1205" priority="19760" stopIfTrue="1">
      <formula>NOT(AND(SUM($FI$80:$FI$81) &lt;= 3,AND(NOT($FI$80&lt;0),NOT($FI$81&lt;0)),NOT(AND($FI$80=0,$FI$81=3)),NOT(AND($FI$80=3,$FI$81=0))))</formula>
    </cfRule>
  </conditionalFormatting>
  <conditionalFormatting sqref="FM80:FM81">
    <cfRule type="cellIs" dxfId="1204" priority="19763" stopIfTrue="1" operator="equal">
      <formula>2</formula>
    </cfRule>
  </conditionalFormatting>
  <conditionalFormatting sqref="FM80">
    <cfRule type="expression" dxfId="1203" priority="19762" stopIfTrue="1">
      <formula>$FM$81=2</formula>
    </cfRule>
  </conditionalFormatting>
  <conditionalFormatting sqref="FM81">
    <cfRule type="expression" dxfId="1202" priority="19761" stopIfTrue="1">
      <formula>$FM$80=2</formula>
    </cfRule>
  </conditionalFormatting>
  <conditionalFormatting sqref="FM80:FM81">
    <cfRule type="expression" dxfId="1201" priority="19756" stopIfTrue="1">
      <formula>NOT(AND(SUM($FM$80:$FM$81) &lt;= 3,AND(NOT($FM$80&lt;0),NOT($FM$81&lt;0)),NOT(AND($FM$80=0,$FM$81=3)),NOT(AND($FM$80=3,$FM$81=0))))</formula>
    </cfRule>
  </conditionalFormatting>
  <conditionalFormatting sqref="DY84:DY85">
    <cfRule type="cellIs" dxfId="1200" priority="19723" stopIfTrue="1" operator="equal">
      <formula>2</formula>
    </cfRule>
  </conditionalFormatting>
  <conditionalFormatting sqref="DY84">
    <cfRule type="expression" dxfId="1199" priority="19722" stopIfTrue="1">
      <formula>$DY$85=2</formula>
    </cfRule>
  </conditionalFormatting>
  <conditionalFormatting sqref="DY85">
    <cfRule type="expression" dxfId="1198" priority="19721" stopIfTrue="1">
      <formula>$DY$84=2</formula>
    </cfRule>
  </conditionalFormatting>
  <conditionalFormatting sqref="DY84:DY85">
    <cfRule type="expression" dxfId="1197" priority="19716" stopIfTrue="1">
      <formula>NOT(AND(SUM($DY$84:$DY$85) &lt;= 3,AND(NOT($DY$84&lt;0),NOT($DY$85&lt;0)),NOT(AND($DY$84=0,$DY$85=3)),NOT(AND($DY$84=3,$DY$85=0))))</formula>
    </cfRule>
  </conditionalFormatting>
  <conditionalFormatting sqref="EC84:EC85">
    <cfRule type="cellIs" dxfId="1196" priority="19719" stopIfTrue="1" operator="equal">
      <formula>2</formula>
    </cfRule>
  </conditionalFormatting>
  <conditionalFormatting sqref="EC84">
    <cfRule type="expression" dxfId="1195" priority="19718" stopIfTrue="1">
      <formula>$EC$85=2</formula>
    </cfRule>
  </conditionalFormatting>
  <conditionalFormatting sqref="EC85">
    <cfRule type="expression" dxfId="1194" priority="19717" stopIfTrue="1">
      <formula>$EC$84=2</formula>
    </cfRule>
  </conditionalFormatting>
  <conditionalFormatting sqref="EC84:EC85">
    <cfRule type="expression" dxfId="1193" priority="19712" stopIfTrue="1">
      <formula>NOT(AND(SUM($EC$84:$EC$85) &lt;= 3,AND(NOT($EC$84&lt;0),NOT($EC$85&lt;0)),NOT(AND($EC$84=0,$EC$85=3)),NOT(AND($EC$84=3,$EC$85=0))))</formula>
    </cfRule>
  </conditionalFormatting>
  <conditionalFormatting sqref="EG84:EG85">
    <cfRule type="cellIs" dxfId="1192" priority="19715" stopIfTrue="1" operator="equal">
      <formula>2</formula>
    </cfRule>
  </conditionalFormatting>
  <conditionalFormatting sqref="EG84">
    <cfRule type="expression" dxfId="1191" priority="19714" stopIfTrue="1">
      <formula>$EG$85=2</formula>
    </cfRule>
  </conditionalFormatting>
  <conditionalFormatting sqref="EG85">
    <cfRule type="expression" dxfId="1190" priority="19713" stopIfTrue="1">
      <formula>$EG$84=2</formula>
    </cfRule>
  </conditionalFormatting>
  <conditionalFormatting sqref="EG84:EG85">
    <cfRule type="expression" dxfId="1189" priority="19708" stopIfTrue="1">
      <formula>NOT(AND(SUM($EG$84:$EG$85) &lt;= 3,AND(NOT($EG$84&lt;0),NOT($EG$85&lt;0)),NOT(AND($EG$84=0,$EG$85=3)),NOT(AND($EG$84=3,$EG$85=0))))</formula>
    </cfRule>
  </conditionalFormatting>
  <conditionalFormatting sqref="EK84:EK85">
    <cfRule type="cellIs" dxfId="1188" priority="19711" stopIfTrue="1" operator="equal">
      <formula>2</formula>
    </cfRule>
  </conditionalFormatting>
  <conditionalFormatting sqref="EK84">
    <cfRule type="expression" dxfId="1187" priority="19710" stopIfTrue="1">
      <formula>$EK$85=2</formula>
    </cfRule>
  </conditionalFormatting>
  <conditionalFormatting sqref="EK85">
    <cfRule type="expression" dxfId="1186" priority="19709" stopIfTrue="1">
      <formula>$EK$84=2</formula>
    </cfRule>
  </conditionalFormatting>
  <conditionalFormatting sqref="EK84:EK85">
    <cfRule type="expression" dxfId="1185" priority="19704" stopIfTrue="1">
      <formula>NOT(AND(SUM($EK$84:$EK$85) &lt;= 3,AND(NOT($EK$84&lt;0),NOT($EK$85&lt;0)),NOT(AND($EK$84=0,$EK$85=3)),NOT(AND($EK$84=3,$EK$85=0))))</formula>
    </cfRule>
  </conditionalFormatting>
  <conditionalFormatting sqref="EO84:EO85">
    <cfRule type="cellIs" dxfId="1184" priority="19707" stopIfTrue="1" operator="equal">
      <formula>2</formula>
    </cfRule>
  </conditionalFormatting>
  <conditionalFormatting sqref="EO84">
    <cfRule type="expression" dxfId="1183" priority="19706" stopIfTrue="1">
      <formula>$EO$85=2</formula>
    </cfRule>
  </conditionalFormatting>
  <conditionalFormatting sqref="EO85">
    <cfRule type="expression" dxfId="1182" priority="19705" stopIfTrue="1">
      <formula>$EO$84=2</formula>
    </cfRule>
  </conditionalFormatting>
  <conditionalFormatting sqref="EO84:EO85">
    <cfRule type="expression" dxfId="1181" priority="19700" stopIfTrue="1">
      <formula>NOT(AND(SUM($EO$84:$EO$85) &lt;= 3,AND(NOT($EO$84&lt;0),NOT($EO$85&lt;0)),NOT(AND($EO$84=0,$EO$85=3)),NOT(AND($EO$84=3,$EO$85=0))))</formula>
    </cfRule>
  </conditionalFormatting>
  <conditionalFormatting sqref="ES84:ES85">
    <cfRule type="cellIs" dxfId="1180" priority="19703" stopIfTrue="1" operator="equal">
      <formula>2</formula>
    </cfRule>
  </conditionalFormatting>
  <conditionalFormatting sqref="ES84">
    <cfRule type="expression" dxfId="1179" priority="19702" stopIfTrue="1">
      <formula>$ES$85=2</formula>
    </cfRule>
  </conditionalFormatting>
  <conditionalFormatting sqref="ES85">
    <cfRule type="expression" dxfId="1178" priority="19701" stopIfTrue="1">
      <formula>$ES$84=2</formula>
    </cfRule>
  </conditionalFormatting>
  <conditionalFormatting sqref="ES84:ES85">
    <cfRule type="expression" dxfId="1177" priority="19696" stopIfTrue="1">
      <formula>NOT(AND(SUM($ES$84:$ES$85) &lt;= 3,AND(NOT($ES$84&lt;0),NOT($ES$85&lt;0)),NOT(AND($ES$84=0,$ES$85=3)),NOT(AND($ES$84=3,$ES$85=0))))</formula>
    </cfRule>
  </conditionalFormatting>
  <conditionalFormatting sqref="EW84:EW85">
    <cfRule type="cellIs" dxfId="1176" priority="19699" stopIfTrue="1" operator="equal">
      <formula>2</formula>
    </cfRule>
  </conditionalFormatting>
  <conditionalFormatting sqref="EW84">
    <cfRule type="expression" dxfId="1175" priority="19698" stopIfTrue="1">
      <formula>$EW$85=2</formula>
    </cfRule>
  </conditionalFormatting>
  <conditionalFormatting sqref="EW85">
    <cfRule type="expression" dxfId="1174" priority="19697" stopIfTrue="1">
      <formula>$EW$84=2</formula>
    </cfRule>
  </conditionalFormatting>
  <conditionalFormatting sqref="EW84:EW85">
    <cfRule type="expression" dxfId="1173" priority="19692" stopIfTrue="1">
      <formula>NOT(AND(SUM($EW$84:$EW$85) &lt;= 3,AND(NOT($EW$84&lt;0),NOT($EW$85&lt;0)),NOT(AND($EW$84=0,$EW$85=3)),NOT(AND($EW$84=3,$EW$85=0))))</formula>
    </cfRule>
  </conditionalFormatting>
  <conditionalFormatting sqref="FA84:FA85">
    <cfRule type="cellIs" dxfId="1172" priority="19695" stopIfTrue="1" operator="equal">
      <formula>2</formula>
    </cfRule>
  </conditionalFormatting>
  <conditionalFormatting sqref="FA84">
    <cfRule type="expression" dxfId="1171" priority="19694" stopIfTrue="1">
      <formula>$FA$85=2</formula>
    </cfRule>
  </conditionalFormatting>
  <conditionalFormatting sqref="FA85">
    <cfRule type="expression" dxfId="1170" priority="19693" stopIfTrue="1">
      <formula>$FA$84=2</formula>
    </cfRule>
  </conditionalFormatting>
  <conditionalFormatting sqref="FA84:FA85">
    <cfRule type="expression" dxfId="1169" priority="19688" stopIfTrue="1">
      <formula>NOT(AND(SUM($FA$84:$FA$85) &lt;= 3,AND(NOT($FA$84&lt;0),NOT($FA$85&lt;0)),NOT(AND($FA$84=0,$FA$85=3)),NOT(AND($FA$84=3,$FA$85=0))))</formula>
    </cfRule>
  </conditionalFormatting>
  <conditionalFormatting sqref="FE84:FE85">
    <cfRule type="cellIs" dxfId="1168" priority="19691" stopIfTrue="1" operator="equal">
      <formula>2</formula>
    </cfRule>
  </conditionalFormatting>
  <conditionalFormatting sqref="FE84">
    <cfRule type="expression" dxfId="1167" priority="19690" stopIfTrue="1">
      <formula>$FE$85=2</formula>
    </cfRule>
  </conditionalFormatting>
  <conditionalFormatting sqref="FE85">
    <cfRule type="expression" dxfId="1166" priority="19689" stopIfTrue="1">
      <formula>$FE$84=2</formula>
    </cfRule>
  </conditionalFormatting>
  <conditionalFormatting sqref="FE84:FE85">
    <cfRule type="expression" dxfId="1165" priority="19684" stopIfTrue="1">
      <formula>NOT(AND(SUM($FE$84:$FE$85) &lt;= 3,AND(NOT($FE$84&lt;0),NOT($FE$85&lt;0)),NOT(AND($FE$84=0,$FE$85=3)),NOT(AND($FE$84=3,$FE$85=0))))</formula>
    </cfRule>
  </conditionalFormatting>
  <conditionalFormatting sqref="FI84:FI85">
    <cfRule type="cellIs" dxfId="1164" priority="19687" stopIfTrue="1" operator="equal">
      <formula>2</formula>
    </cfRule>
  </conditionalFormatting>
  <conditionalFormatting sqref="FI84">
    <cfRule type="expression" dxfId="1163" priority="19686" stopIfTrue="1">
      <formula>$FI$85=2</formula>
    </cfRule>
  </conditionalFormatting>
  <conditionalFormatting sqref="FI85">
    <cfRule type="expression" dxfId="1162" priority="19685" stopIfTrue="1">
      <formula>$FI$84=2</formula>
    </cfRule>
  </conditionalFormatting>
  <conditionalFormatting sqref="FI84:FI85">
    <cfRule type="expression" dxfId="1161" priority="19680" stopIfTrue="1">
      <formula>NOT(AND(SUM($FI$84:$FI$85) &lt;= 3,AND(NOT($FI$84&lt;0),NOT($FI$85&lt;0)),NOT(AND($FI$84=0,$FI$85=3)),NOT(AND($FI$84=3,$FI$85=0))))</formula>
    </cfRule>
  </conditionalFormatting>
  <conditionalFormatting sqref="FM84:FM85">
    <cfRule type="cellIs" dxfId="1160" priority="19683" stopIfTrue="1" operator="equal">
      <formula>2</formula>
    </cfRule>
  </conditionalFormatting>
  <conditionalFormatting sqref="FM84">
    <cfRule type="expression" dxfId="1159" priority="19682" stopIfTrue="1">
      <formula>$FM$85=2</formula>
    </cfRule>
  </conditionalFormatting>
  <conditionalFormatting sqref="FM85">
    <cfRule type="expression" dxfId="1158" priority="19681" stopIfTrue="1">
      <formula>$FM$84=2</formula>
    </cfRule>
  </conditionalFormatting>
  <conditionalFormatting sqref="FM84:FM85">
    <cfRule type="expression" dxfId="1157" priority="19676" stopIfTrue="1">
      <formula>NOT(AND(SUM($FM$84:$FM$85) &lt;= 3,AND(NOT($FM$84&lt;0),NOT($FM$85&lt;0)),NOT(AND($FM$84=0,$FM$85=3)),NOT(AND($FM$84=3,$FM$85=0))))</formula>
    </cfRule>
  </conditionalFormatting>
  <conditionalFormatting sqref="DY88:DY89">
    <cfRule type="cellIs" dxfId="1156" priority="19643" stopIfTrue="1" operator="equal">
      <formula>2</formula>
    </cfRule>
  </conditionalFormatting>
  <conditionalFormatting sqref="DY88">
    <cfRule type="expression" dxfId="1155" priority="19642" stopIfTrue="1">
      <formula>$DY$89=2</formula>
    </cfRule>
  </conditionalFormatting>
  <conditionalFormatting sqref="DY89">
    <cfRule type="expression" dxfId="1154" priority="19641" stopIfTrue="1">
      <formula>$DY$88=2</formula>
    </cfRule>
  </conditionalFormatting>
  <conditionalFormatting sqref="DY88:DY89">
    <cfRule type="expression" dxfId="1153" priority="19636" stopIfTrue="1">
      <formula>NOT(AND(SUM($DY$88:$DY$89) &lt;= 3,AND(NOT($DY$88&lt;0),NOT($DY$89&lt;0)),NOT(AND($DY$88=0,$DY$89=3)),NOT(AND($DY$88=3,$DY$89=0))))</formula>
    </cfRule>
  </conditionalFormatting>
  <conditionalFormatting sqref="EC88:EC89">
    <cfRule type="cellIs" dxfId="1152" priority="19639" stopIfTrue="1" operator="equal">
      <formula>2</formula>
    </cfRule>
  </conditionalFormatting>
  <conditionalFormatting sqref="EC88">
    <cfRule type="expression" dxfId="1151" priority="19638" stopIfTrue="1">
      <formula>$EC$89=2</formula>
    </cfRule>
  </conditionalFormatting>
  <conditionalFormatting sqref="EC89">
    <cfRule type="expression" dxfId="1150" priority="19637" stopIfTrue="1">
      <formula>$EC$88=2</formula>
    </cfRule>
  </conditionalFormatting>
  <conditionalFormatting sqref="EC88:EC89">
    <cfRule type="expression" dxfId="1149" priority="19632" stopIfTrue="1">
      <formula>NOT(AND(SUM($EC$88:$EC$89) &lt;= 3,AND(NOT($EC$88&lt;0),NOT($EC$89&lt;0)),NOT(AND($EC$88=0,$EC$89=3)),NOT(AND($EC$88=3,$EC$89=0))))</formula>
    </cfRule>
  </conditionalFormatting>
  <conditionalFormatting sqref="EG88:EG89">
    <cfRule type="cellIs" dxfId="1148" priority="19635" stopIfTrue="1" operator="equal">
      <formula>2</formula>
    </cfRule>
  </conditionalFormatting>
  <conditionalFormatting sqref="EG88">
    <cfRule type="expression" dxfId="1147" priority="19634" stopIfTrue="1">
      <formula>$EG$89=2</formula>
    </cfRule>
  </conditionalFormatting>
  <conditionalFormatting sqref="EG89">
    <cfRule type="expression" dxfId="1146" priority="19633" stopIfTrue="1">
      <formula>$EG$88=2</formula>
    </cfRule>
  </conditionalFormatting>
  <conditionalFormatting sqref="EG88:EG89">
    <cfRule type="expression" dxfId="1145" priority="19628" stopIfTrue="1">
      <formula>NOT(AND(SUM($EG$88:$EG$89) &lt;= 3,AND(NOT($EG$88&lt;0),NOT($EG$89&lt;0)),NOT(AND($EG$88=0,$EG$89=3)),NOT(AND($EG$88=3,$EG$89=0))))</formula>
    </cfRule>
  </conditionalFormatting>
  <conditionalFormatting sqref="EK88:EK89">
    <cfRule type="cellIs" dxfId="1144" priority="19631" stopIfTrue="1" operator="equal">
      <formula>2</formula>
    </cfRule>
  </conditionalFormatting>
  <conditionalFormatting sqref="EK88">
    <cfRule type="expression" dxfId="1143" priority="19630" stopIfTrue="1">
      <formula>$EK$89=2</formula>
    </cfRule>
  </conditionalFormatting>
  <conditionalFormatting sqref="EK89">
    <cfRule type="expression" dxfId="1142" priority="19629" stopIfTrue="1">
      <formula>$EK$88=2</formula>
    </cfRule>
  </conditionalFormatting>
  <conditionalFormatting sqref="EK88:EK89">
    <cfRule type="expression" dxfId="1141" priority="19624" stopIfTrue="1">
      <formula>NOT(AND(SUM($EK$88:$EK$89) &lt;= 3,AND(NOT($EK$88&lt;0),NOT($EK$89&lt;0)),NOT(AND($EK$88=0,$EK$89=3)),NOT(AND($EK$88=3,$EK$89=0))))</formula>
    </cfRule>
  </conditionalFormatting>
  <conditionalFormatting sqref="EO88:EO89">
    <cfRule type="cellIs" dxfId="1140" priority="19627" stopIfTrue="1" operator="equal">
      <formula>2</formula>
    </cfRule>
  </conditionalFormatting>
  <conditionalFormatting sqref="EO88">
    <cfRule type="expression" dxfId="1139" priority="19626" stopIfTrue="1">
      <formula>$EO$89=2</formula>
    </cfRule>
  </conditionalFormatting>
  <conditionalFormatting sqref="EO89">
    <cfRule type="expression" dxfId="1138" priority="19625" stopIfTrue="1">
      <formula>$EO$88=2</formula>
    </cfRule>
  </conditionalFormatting>
  <conditionalFormatting sqref="EO88:EO89">
    <cfRule type="expression" dxfId="1137" priority="19620" stopIfTrue="1">
      <formula>NOT(AND(SUM($EO$88:$EO$89) &lt;= 3,AND(NOT($EO$88&lt;0),NOT($EO$89&lt;0)),NOT(AND($EO$88=0,$EO$89=3)),NOT(AND($EO$88=3,$EO$89=0))))</formula>
    </cfRule>
  </conditionalFormatting>
  <conditionalFormatting sqref="ES88:ES89">
    <cfRule type="cellIs" dxfId="1136" priority="19623" stopIfTrue="1" operator="equal">
      <formula>2</formula>
    </cfRule>
  </conditionalFormatting>
  <conditionalFormatting sqref="ES88">
    <cfRule type="expression" dxfId="1135" priority="19622" stopIfTrue="1">
      <formula>$ES$89=2</formula>
    </cfRule>
  </conditionalFormatting>
  <conditionalFormatting sqref="ES89">
    <cfRule type="expression" dxfId="1134" priority="19621" stopIfTrue="1">
      <formula>$ES$88=2</formula>
    </cfRule>
  </conditionalFormatting>
  <conditionalFormatting sqref="ES88:ES89">
    <cfRule type="expression" dxfId="1133" priority="19616" stopIfTrue="1">
      <formula>NOT(AND(SUM($ES$88:$ES$89) &lt;= 3,AND(NOT($ES$88&lt;0),NOT($ES$89&lt;0)),NOT(AND($ES$88=0,$ES$89=3)),NOT(AND($ES$88=3,$ES$89=0))))</formula>
    </cfRule>
  </conditionalFormatting>
  <conditionalFormatting sqref="EW88:EW89">
    <cfRule type="cellIs" dxfId="1132" priority="19619" stopIfTrue="1" operator="equal">
      <formula>2</formula>
    </cfRule>
  </conditionalFormatting>
  <conditionalFormatting sqref="EW88">
    <cfRule type="expression" dxfId="1131" priority="19618" stopIfTrue="1">
      <formula>$EW$89=2</formula>
    </cfRule>
  </conditionalFormatting>
  <conditionalFormatting sqref="EW89">
    <cfRule type="expression" dxfId="1130" priority="19617" stopIfTrue="1">
      <formula>$EW$88=2</formula>
    </cfRule>
  </conditionalFormatting>
  <conditionalFormatting sqref="EW88:EW89">
    <cfRule type="expression" dxfId="1129" priority="19612" stopIfTrue="1">
      <formula>NOT(AND(SUM($EW$88:$EW$89) &lt;= 3,AND(NOT($EW$88&lt;0),NOT($EW$89&lt;0)),NOT(AND($EW$88=0,$EW$89=3)),NOT(AND($EW$88=3,$EW$89=0))))</formula>
    </cfRule>
  </conditionalFormatting>
  <conditionalFormatting sqref="FA88:FA89">
    <cfRule type="cellIs" dxfId="1128" priority="19615" stopIfTrue="1" operator="equal">
      <formula>2</formula>
    </cfRule>
  </conditionalFormatting>
  <conditionalFormatting sqref="FA88">
    <cfRule type="expression" dxfId="1127" priority="19614" stopIfTrue="1">
      <formula>$FA$89=2</formula>
    </cfRule>
  </conditionalFormatting>
  <conditionalFormatting sqref="FA89">
    <cfRule type="expression" dxfId="1126" priority="19613" stopIfTrue="1">
      <formula>$FA$88=2</formula>
    </cfRule>
  </conditionalFormatting>
  <conditionalFormatting sqref="FA88:FA89">
    <cfRule type="expression" dxfId="1125" priority="19608" stopIfTrue="1">
      <formula>NOT(AND(SUM($FA$88:$FA$89) &lt;= 3,AND(NOT($FA$88&lt;0),NOT($FA$89&lt;0)),NOT(AND($FA$88=0,$FA$89=3)),NOT(AND($FA$88=3,$FA$89=0))))</formula>
    </cfRule>
  </conditionalFormatting>
  <conditionalFormatting sqref="FE88:FE89">
    <cfRule type="cellIs" dxfId="1124" priority="19611" stopIfTrue="1" operator="equal">
      <formula>2</formula>
    </cfRule>
  </conditionalFormatting>
  <conditionalFormatting sqref="FE88">
    <cfRule type="expression" dxfId="1123" priority="19610" stopIfTrue="1">
      <formula>$FE$89=2</formula>
    </cfRule>
  </conditionalFormatting>
  <conditionalFormatting sqref="FE89">
    <cfRule type="expression" dxfId="1122" priority="19609" stopIfTrue="1">
      <formula>$FE$88=2</formula>
    </cfRule>
  </conditionalFormatting>
  <conditionalFormatting sqref="FE88:FE89">
    <cfRule type="expression" dxfId="1121" priority="19604" stopIfTrue="1">
      <formula>NOT(AND(SUM($FE$88:$FE$89) &lt;= 3,AND(NOT($FE$88&lt;0),NOT($FE$89&lt;0)),NOT(AND($FE$88=0,$FE$89=3)),NOT(AND($FE$88=3,$FE$89=0))))</formula>
    </cfRule>
  </conditionalFormatting>
  <conditionalFormatting sqref="FI88:FI89">
    <cfRule type="cellIs" dxfId="1120" priority="19607" stopIfTrue="1" operator="equal">
      <formula>2</formula>
    </cfRule>
  </conditionalFormatting>
  <conditionalFormatting sqref="FI88">
    <cfRule type="expression" dxfId="1119" priority="19606" stopIfTrue="1">
      <formula>$FI$89=2</formula>
    </cfRule>
  </conditionalFormatting>
  <conditionalFormatting sqref="FI89">
    <cfRule type="expression" dxfId="1118" priority="19605" stopIfTrue="1">
      <formula>$FI$88=2</formula>
    </cfRule>
  </conditionalFormatting>
  <conditionalFormatting sqref="FI88:FI89">
    <cfRule type="expression" dxfId="1117" priority="19600" stopIfTrue="1">
      <formula>NOT(AND(SUM($FI$88:$FI$89) &lt;= 3,AND(NOT($FI$88&lt;0),NOT($FI$89&lt;0)),NOT(AND($FI$88=0,$FI$89=3)),NOT(AND($FI$88=3,$FI$89=0))))</formula>
    </cfRule>
  </conditionalFormatting>
  <conditionalFormatting sqref="FM88:FM89">
    <cfRule type="cellIs" dxfId="1116" priority="19603" stopIfTrue="1" operator="equal">
      <formula>2</formula>
    </cfRule>
  </conditionalFormatting>
  <conditionalFormatting sqref="FM88">
    <cfRule type="expression" dxfId="1115" priority="19602" stopIfTrue="1">
      <formula>$FM$89=2</formula>
    </cfRule>
  </conditionalFormatting>
  <conditionalFormatting sqref="FM89">
    <cfRule type="expression" dxfId="1114" priority="19601" stopIfTrue="1">
      <formula>$FM$88=2</formula>
    </cfRule>
  </conditionalFormatting>
  <conditionalFormatting sqref="FM88:FM89">
    <cfRule type="expression" dxfId="1113" priority="19596" stopIfTrue="1">
      <formula>NOT(AND(SUM($FM$88:$FM$89) &lt;= 3,AND(NOT($FM$88&lt;0),NOT($FM$89&lt;0)),NOT(AND($FM$88=0,$FM$89=3)),NOT(AND($FM$88=3,$FM$89=0))))</formula>
    </cfRule>
  </conditionalFormatting>
  <conditionalFormatting sqref="DY92:DY93">
    <cfRule type="cellIs" dxfId="1112" priority="19563" stopIfTrue="1" operator="equal">
      <formula>2</formula>
    </cfRule>
  </conditionalFormatting>
  <conditionalFormatting sqref="DY92">
    <cfRule type="expression" dxfId="1111" priority="19562" stopIfTrue="1">
      <formula>$DY$93=2</formula>
    </cfRule>
  </conditionalFormatting>
  <conditionalFormatting sqref="DY93">
    <cfRule type="expression" dxfId="1110" priority="19561" stopIfTrue="1">
      <formula>$DY$92=2</formula>
    </cfRule>
  </conditionalFormatting>
  <conditionalFormatting sqref="DY92:DY93">
    <cfRule type="expression" dxfId="1109" priority="19556" stopIfTrue="1">
      <formula>NOT(AND(SUM($DY$92:$DY$93) &lt;= 3,AND(NOT($DY$92&lt;0),NOT($DY$93&lt;0)),NOT(AND($DY$92=0,$DY$93=3)),NOT(AND($DY$92=3,$DY$93=0))))</formula>
    </cfRule>
  </conditionalFormatting>
  <conditionalFormatting sqref="EC92:EC93">
    <cfRule type="cellIs" dxfId="1108" priority="19559" stopIfTrue="1" operator="equal">
      <formula>2</formula>
    </cfRule>
  </conditionalFormatting>
  <conditionalFormatting sqref="EC92">
    <cfRule type="expression" dxfId="1107" priority="19558" stopIfTrue="1">
      <formula>$EC$93=2</formula>
    </cfRule>
  </conditionalFormatting>
  <conditionalFormatting sqref="EC93">
    <cfRule type="expression" dxfId="1106" priority="19557" stopIfTrue="1">
      <formula>$EC$92=2</formula>
    </cfRule>
  </conditionalFormatting>
  <conditionalFormatting sqref="EC92:EC93">
    <cfRule type="expression" dxfId="1105" priority="19552" stopIfTrue="1">
      <formula>NOT(AND(SUM($EC$92:$EC$93) &lt;= 3,AND(NOT($EC$92&lt;0),NOT($EC$93&lt;0)),NOT(AND($EC$92=0,$EC$93=3)),NOT(AND($EC$92=3,$EC$93=0))))</formula>
    </cfRule>
  </conditionalFormatting>
  <conditionalFormatting sqref="EG92:EG93">
    <cfRule type="cellIs" dxfId="1104" priority="19555" stopIfTrue="1" operator="equal">
      <formula>2</formula>
    </cfRule>
  </conditionalFormatting>
  <conditionalFormatting sqref="EG92">
    <cfRule type="expression" dxfId="1103" priority="19554" stopIfTrue="1">
      <formula>$EG$93=2</formula>
    </cfRule>
  </conditionalFormatting>
  <conditionalFormatting sqref="EG93">
    <cfRule type="expression" dxfId="1102" priority="19553" stopIfTrue="1">
      <formula>$EG$92=2</formula>
    </cfRule>
  </conditionalFormatting>
  <conditionalFormatting sqref="EG92:EG93">
    <cfRule type="expression" dxfId="1101" priority="19548" stopIfTrue="1">
      <formula>NOT(AND(SUM($EG$92:$EG$93) &lt;= 3,AND(NOT($EG$92&lt;0),NOT($EG$93&lt;0)),NOT(AND($EG$92=0,$EG$93=3)),NOT(AND($EG$92=3,$EG$93=0))))</formula>
    </cfRule>
  </conditionalFormatting>
  <conditionalFormatting sqref="EK92:EK93">
    <cfRule type="cellIs" dxfId="1100" priority="19551" stopIfTrue="1" operator="equal">
      <formula>2</formula>
    </cfRule>
  </conditionalFormatting>
  <conditionalFormatting sqref="EK92">
    <cfRule type="expression" dxfId="1099" priority="19550" stopIfTrue="1">
      <formula>$EK$93=2</formula>
    </cfRule>
  </conditionalFormatting>
  <conditionalFormatting sqref="EK93">
    <cfRule type="expression" dxfId="1098" priority="19549" stopIfTrue="1">
      <formula>$EK$92=2</formula>
    </cfRule>
  </conditionalFormatting>
  <conditionalFormatting sqref="EK92:EK93">
    <cfRule type="expression" dxfId="1097" priority="19544" stopIfTrue="1">
      <formula>NOT(AND(SUM($EK$92:$EK$93) &lt;= 3,AND(NOT($EK$92&lt;0),NOT($EK$93&lt;0)),NOT(AND($EK$92=0,$EK$93=3)),NOT(AND($EK$92=3,$EK$93=0))))</formula>
    </cfRule>
  </conditionalFormatting>
  <conditionalFormatting sqref="EO92:EO93">
    <cfRule type="cellIs" dxfId="1096" priority="19547" stopIfTrue="1" operator="equal">
      <formula>2</formula>
    </cfRule>
  </conditionalFormatting>
  <conditionalFormatting sqref="EO92">
    <cfRule type="expression" dxfId="1095" priority="19546" stopIfTrue="1">
      <formula>$EO$93=2</formula>
    </cfRule>
  </conditionalFormatting>
  <conditionalFormatting sqref="EO93">
    <cfRule type="expression" dxfId="1094" priority="19545" stopIfTrue="1">
      <formula>$EO$92=2</formula>
    </cfRule>
  </conditionalFormatting>
  <conditionalFormatting sqref="EO92:EO93">
    <cfRule type="expression" dxfId="1093" priority="19540" stopIfTrue="1">
      <formula>NOT(AND(SUM($EO$92:$EO$93) &lt;= 3,AND(NOT($EO$92&lt;0),NOT($EO$93&lt;0)),NOT(AND($EO$92=0,$EO$93=3)),NOT(AND($EO$92=3,$EO$93=0))))</formula>
    </cfRule>
  </conditionalFormatting>
  <conditionalFormatting sqref="ES92:ES93">
    <cfRule type="cellIs" dxfId="1092" priority="19543" stopIfTrue="1" operator="equal">
      <formula>2</formula>
    </cfRule>
  </conditionalFormatting>
  <conditionalFormatting sqref="ES92">
    <cfRule type="expression" dxfId="1091" priority="19542" stopIfTrue="1">
      <formula>$ES$93=2</formula>
    </cfRule>
  </conditionalFormatting>
  <conditionalFormatting sqref="ES93">
    <cfRule type="expression" dxfId="1090" priority="19541" stopIfTrue="1">
      <formula>$ES$92=2</formula>
    </cfRule>
  </conditionalFormatting>
  <conditionalFormatting sqref="ES92:ES93">
    <cfRule type="expression" dxfId="1089" priority="19536" stopIfTrue="1">
      <formula>NOT(AND(SUM($ES$92:$ES$93) &lt;= 3,AND(NOT($ES$92&lt;0),NOT($ES$93&lt;0)),NOT(AND($ES$92=0,$ES$93=3)),NOT(AND($ES$92=3,$ES$93=0))))</formula>
    </cfRule>
  </conditionalFormatting>
  <conditionalFormatting sqref="EW92:EW93">
    <cfRule type="cellIs" dxfId="1088" priority="19539" stopIfTrue="1" operator="equal">
      <formula>2</formula>
    </cfRule>
  </conditionalFormatting>
  <conditionalFormatting sqref="EW92">
    <cfRule type="expression" dxfId="1087" priority="19538" stopIfTrue="1">
      <formula>$EW$93=2</formula>
    </cfRule>
  </conditionalFormatting>
  <conditionalFormatting sqref="EW93">
    <cfRule type="expression" dxfId="1086" priority="19537" stopIfTrue="1">
      <formula>$EW$92=2</formula>
    </cfRule>
  </conditionalFormatting>
  <conditionalFormatting sqref="EW92:EW93">
    <cfRule type="expression" dxfId="1085" priority="19532" stopIfTrue="1">
      <formula>NOT(AND(SUM($EW$92:$EW$93) &lt;= 3,AND(NOT($EW$92&lt;0),NOT($EW$93&lt;0)),NOT(AND($EW$92=0,$EW$93=3)),NOT(AND($EW$92=3,$EW$93=0))))</formula>
    </cfRule>
  </conditionalFormatting>
  <conditionalFormatting sqref="FA92:FA93">
    <cfRule type="cellIs" dxfId="1084" priority="19535" stopIfTrue="1" operator="equal">
      <formula>2</formula>
    </cfRule>
  </conditionalFormatting>
  <conditionalFormatting sqref="FA92">
    <cfRule type="expression" dxfId="1083" priority="19534" stopIfTrue="1">
      <formula>$FA$93=2</formula>
    </cfRule>
  </conditionalFormatting>
  <conditionalFormatting sqref="FA93">
    <cfRule type="expression" dxfId="1082" priority="19533" stopIfTrue="1">
      <formula>$FA$92=2</formula>
    </cfRule>
  </conditionalFormatting>
  <conditionalFormatting sqref="FA92:FA93">
    <cfRule type="expression" dxfId="1081" priority="19528" stopIfTrue="1">
      <formula>NOT(AND(SUM($FA$92:$FA$93) &lt;= 3,AND(NOT($FA$92&lt;0),NOT($FA$93&lt;0)),NOT(AND($FA$92=0,$FA$93=3)),NOT(AND($FA$92=3,$FA$93=0))))</formula>
    </cfRule>
  </conditionalFormatting>
  <conditionalFormatting sqref="FE92:FE93">
    <cfRule type="cellIs" dxfId="1080" priority="19531" stopIfTrue="1" operator="equal">
      <formula>2</formula>
    </cfRule>
  </conditionalFormatting>
  <conditionalFormatting sqref="FE92">
    <cfRule type="expression" dxfId="1079" priority="19530" stopIfTrue="1">
      <formula>$FE$93=2</formula>
    </cfRule>
  </conditionalFormatting>
  <conditionalFormatting sqref="FE93">
    <cfRule type="expression" dxfId="1078" priority="19529" stopIfTrue="1">
      <formula>$FE$92=2</formula>
    </cfRule>
  </conditionalFormatting>
  <conditionalFormatting sqref="FE92:FE93">
    <cfRule type="expression" dxfId="1077" priority="19524" stopIfTrue="1">
      <formula>NOT(AND(SUM($FE$92:$FE$93) &lt;= 3,AND(NOT($FE$92&lt;0),NOT($FE$93&lt;0)),NOT(AND($FE$92=0,$FE$93=3)),NOT(AND($FE$92=3,$FE$93=0))))</formula>
    </cfRule>
  </conditionalFormatting>
  <conditionalFormatting sqref="FI92:FI93">
    <cfRule type="cellIs" dxfId="1076" priority="19527" stopIfTrue="1" operator="equal">
      <formula>2</formula>
    </cfRule>
  </conditionalFormatting>
  <conditionalFormatting sqref="FI92">
    <cfRule type="expression" dxfId="1075" priority="19526" stopIfTrue="1">
      <formula>$FI$93=2</formula>
    </cfRule>
  </conditionalFormatting>
  <conditionalFormatting sqref="FI93">
    <cfRule type="expression" dxfId="1074" priority="19525" stopIfTrue="1">
      <formula>$FI$92=2</formula>
    </cfRule>
  </conditionalFormatting>
  <conditionalFormatting sqref="FI92:FI93">
    <cfRule type="expression" dxfId="1073" priority="19520" stopIfTrue="1">
      <formula>NOT(AND(SUM($FI$92:$FI$93) &lt;= 3,AND(NOT($FI$92&lt;0),NOT($FI$93&lt;0)),NOT(AND($FI$92=0,$FI$93=3)),NOT(AND($FI$92=3,$FI$93=0))))</formula>
    </cfRule>
  </conditionalFormatting>
  <conditionalFormatting sqref="FM92:FM93">
    <cfRule type="cellIs" dxfId="1072" priority="19523" stopIfTrue="1" operator="equal">
      <formula>2</formula>
    </cfRule>
  </conditionalFormatting>
  <conditionalFormatting sqref="FM92">
    <cfRule type="expression" dxfId="1071" priority="19522" stopIfTrue="1">
      <formula>$FM$93=2</formula>
    </cfRule>
  </conditionalFormatting>
  <conditionalFormatting sqref="FM93">
    <cfRule type="expression" dxfId="1070" priority="19521" stopIfTrue="1">
      <formula>$FM$92=2</formula>
    </cfRule>
  </conditionalFormatting>
  <conditionalFormatting sqref="FM92:FM93">
    <cfRule type="expression" dxfId="1069" priority="19516" stopIfTrue="1">
      <formula>NOT(AND(SUM($FM$92:$FM$93) &lt;= 3,AND(NOT($FM$92&lt;0),NOT($FM$93&lt;0)),NOT(AND($FM$92=0,$FM$93=3)),NOT(AND($FM$92=3,$FM$93=0))))</formula>
    </cfRule>
  </conditionalFormatting>
  <conditionalFormatting sqref="DY96:DY97">
    <cfRule type="cellIs" dxfId="1068" priority="19483" stopIfTrue="1" operator="equal">
      <formula>2</formula>
    </cfRule>
  </conditionalFormatting>
  <conditionalFormatting sqref="DY96">
    <cfRule type="expression" dxfId="1067" priority="19482" stopIfTrue="1">
      <formula>$DY$97=2</formula>
    </cfRule>
  </conditionalFormatting>
  <conditionalFormatting sqref="DY97">
    <cfRule type="expression" dxfId="1066" priority="19481" stopIfTrue="1">
      <formula>$DY$96=2</formula>
    </cfRule>
  </conditionalFormatting>
  <conditionalFormatting sqref="DY96:DY97">
    <cfRule type="expression" dxfId="1065" priority="19476" stopIfTrue="1">
      <formula>NOT(AND(SUM($DY$96:$DY$97) &lt;= 3,AND(NOT($DY$96&lt;0),NOT($DY$97&lt;0)),NOT(AND($DY$96=0,$DY$97=3)),NOT(AND($DY$96=3,$DY$97=0))))</formula>
    </cfRule>
  </conditionalFormatting>
  <conditionalFormatting sqref="EC96:EC97">
    <cfRule type="cellIs" dxfId="1064" priority="19479" stopIfTrue="1" operator="equal">
      <formula>2</formula>
    </cfRule>
  </conditionalFormatting>
  <conditionalFormatting sqref="EC96">
    <cfRule type="expression" dxfId="1063" priority="19478" stopIfTrue="1">
      <formula>$EC$97=2</formula>
    </cfRule>
  </conditionalFormatting>
  <conditionalFormatting sqref="EC97">
    <cfRule type="expression" dxfId="1062" priority="19477" stopIfTrue="1">
      <formula>$EC$96=2</formula>
    </cfRule>
  </conditionalFormatting>
  <conditionalFormatting sqref="EC96:EC97">
    <cfRule type="expression" dxfId="1061" priority="19472" stopIfTrue="1">
      <formula>NOT(AND(SUM($EC$96:$EC$97) &lt;= 3,AND(NOT($EC$96&lt;0),NOT($EC$97&lt;0)),NOT(AND($EC$96=0,$EC$97=3)),NOT(AND($EC$96=3,$EC$97=0))))</formula>
    </cfRule>
  </conditionalFormatting>
  <conditionalFormatting sqref="EG96:EG97">
    <cfRule type="cellIs" dxfId="1060" priority="19475" stopIfTrue="1" operator="equal">
      <formula>2</formula>
    </cfRule>
  </conditionalFormatting>
  <conditionalFormatting sqref="EG96">
    <cfRule type="expression" dxfId="1059" priority="19474" stopIfTrue="1">
      <formula>$EG$97=2</formula>
    </cfRule>
  </conditionalFormatting>
  <conditionalFormatting sqref="EG97">
    <cfRule type="expression" dxfId="1058" priority="19473" stopIfTrue="1">
      <formula>$EG$96=2</formula>
    </cfRule>
  </conditionalFormatting>
  <conditionalFormatting sqref="EG96:EG97">
    <cfRule type="expression" dxfId="1057" priority="19468" stopIfTrue="1">
      <formula>NOT(AND(SUM($EG$96:$EG$97) &lt;= 3,AND(NOT($EG$96&lt;0),NOT($EG$97&lt;0)),NOT(AND($EG$96=0,$EG$97=3)),NOT(AND($EG$96=3,$EG$97=0))))</formula>
    </cfRule>
  </conditionalFormatting>
  <conditionalFormatting sqref="EK96:EK97">
    <cfRule type="cellIs" dxfId="1056" priority="19471" stopIfTrue="1" operator="equal">
      <formula>2</formula>
    </cfRule>
  </conditionalFormatting>
  <conditionalFormatting sqref="EK96">
    <cfRule type="expression" dxfId="1055" priority="19470" stopIfTrue="1">
      <formula>$EK$97=2</formula>
    </cfRule>
  </conditionalFormatting>
  <conditionalFormatting sqref="EK97">
    <cfRule type="expression" dxfId="1054" priority="19469" stopIfTrue="1">
      <formula>$EK$96=2</formula>
    </cfRule>
  </conditionalFormatting>
  <conditionalFormatting sqref="EK96:EK97">
    <cfRule type="expression" dxfId="1053" priority="19464" stopIfTrue="1">
      <formula>NOT(AND(SUM($EK$96:$EK$97) &lt;= 3,AND(NOT($EK$96&lt;0),NOT($EK$97&lt;0)),NOT(AND($EK$96=0,$EK$97=3)),NOT(AND($EK$96=3,$EK$97=0))))</formula>
    </cfRule>
  </conditionalFormatting>
  <conditionalFormatting sqref="EO96:EO97">
    <cfRule type="cellIs" dxfId="1052" priority="19467" stopIfTrue="1" operator="equal">
      <formula>2</formula>
    </cfRule>
  </conditionalFormatting>
  <conditionalFormatting sqref="EO96">
    <cfRule type="expression" dxfId="1051" priority="19466" stopIfTrue="1">
      <formula>$EO$97=2</formula>
    </cfRule>
  </conditionalFormatting>
  <conditionalFormatting sqref="EO97">
    <cfRule type="expression" dxfId="1050" priority="19465" stopIfTrue="1">
      <formula>$EO$96=2</formula>
    </cfRule>
  </conditionalFormatting>
  <conditionalFormatting sqref="EO96:EO97">
    <cfRule type="expression" dxfId="1049" priority="19460" stopIfTrue="1">
      <formula>NOT(AND(SUM($EO$96:$EO$97) &lt;= 3,AND(NOT($EO$96&lt;0),NOT($EO$97&lt;0)),NOT(AND($EO$96=0,$EO$97=3)),NOT(AND($EO$96=3,$EO$97=0))))</formula>
    </cfRule>
  </conditionalFormatting>
  <conditionalFormatting sqref="ES96:ES97">
    <cfRule type="cellIs" dxfId="1048" priority="19463" stopIfTrue="1" operator="equal">
      <formula>2</formula>
    </cfRule>
  </conditionalFormatting>
  <conditionalFormatting sqref="ES96">
    <cfRule type="expression" dxfId="1047" priority="19462" stopIfTrue="1">
      <formula>$ES$97=2</formula>
    </cfRule>
  </conditionalFormatting>
  <conditionalFormatting sqref="ES97">
    <cfRule type="expression" dxfId="1046" priority="19461" stopIfTrue="1">
      <formula>$ES$96=2</formula>
    </cfRule>
  </conditionalFormatting>
  <conditionalFormatting sqref="ES96:ES97">
    <cfRule type="expression" dxfId="1045" priority="19456" stopIfTrue="1">
      <formula>NOT(AND(SUM($ES$96:$ES$97) &lt;= 3,AND(NOT($ES$96&lt;0),NOT($ES$97&lt;0)),NOT(AND($ES$96=0,$ES$97=3)),NOT(AND($ES$96=3,$ES$97=0))))</formula>
    </cfRule>
  </conditionalFormatting>
  <conditionalFormatting sqref="EW96:EW97">
    <cfRule type="cellIs" dxfId="1044" priority="19459" stopIfTrue="1" operator="equal">
      <formula>2</formula>
    </cfRule>
  </conditionalFormatting>
  <conditionalFormatting sqref="EW96">
    <cfRule type="expression" dxfId="1043" priority="19458" stopIfTrue="1">
      <formula>$EW$97=2</formula>
    </cfRule>
  </conditionalFormatting>
  <conditionalFormatting sqref="EW97">
    <cfRule type="expression" dxfId="1042" priority="19457" stopIfTrue="1">
      <formula>$EW$96=2</formula>
    </cfRule>
  </conditionalFormatting>
  <conditionalFormatting sqref="EW96:EW97">
    <cfRule type="expression" dxfId="1041" priority="19452" stopIfTrue="1">
      <formula>NOT(AND(SUM($EW$96:$EW$97) &lt;= 3,AND(NOT($EW$96&lt;0),NOT($EW$97&lt;0)),NOT(AND($EW$96=0,$EW$97=3)),NOT(AND($EW$96=3,$EW$97=0))))</formula>
    </cfRule>
  </conditionalFormatting>
  <conditionalFormatting sqref="FA96:FA97">
    <cfRule type="cellIs" dxfId="1040" priority="19455" stopIfTrue="1" operator="equal">
      <formula>2</formula>
    </cfRule>
  </conditionalFormatting>
  <conditionalFormatting sqref="FA96">
    <cfRule type="expression" dxfId="1039" priority="19454" stopIfTrue="1">
      <formula>$FA$97=2</formula>
    </cfRule>
  </conditionalFormatting>
  <conditionalFormatting sqref="FA97">
    <cfRule type="expression" dxfId="1038" priority="19453" stopIfTrue="1">
      <formula>$FA$96=2</formula>
    </cfRule>
  </conditionalFormatting>
  <conditionalFormatting sqref="FA96:FA97">
    <cfRule type="expression" dxfId="1037" priority="19448" stopIfTrue="1">
      <formula>NOT(AND(SUM($FA$96:$FA$97) &lt;= 3,AND(NOT($FA$96&lt;0),NOT($FA$97&lt;0)),NOT(AND($FA$96=0,$FA$97=3)),NOT(AND($FA$96=3,$FA$97=0))))</formula>
    </cfRule>
  </conditionalFormatting>
  <conditionalFormatting sqref="FE96:FE97">
    <cfRule type="cellIs" dxfId="1036" priority="19451" stopIfTrue="1" operator="equal">
      <formula>2</formula>
    </cfRule>
  </conditionalFormatting>
  <conditionalFormatting sqref="FE96">
    <cfRule type="expression" dxfId="1035" priority="19450" stopIfTrue="1">
      <formula>$FE$97=2</formula>
    </cfRule>
  </conditionalFormatting>
  <conditionalFormatting sqref="FE97">
    <cfRule type="expression" dxfId="1034" priority="19449" stopIfTrue="1">
      <formula>$FE$96=2</formula>
    </cfRule>
  </conditionalFormatting>
  <conditionalFormatting sqref="FE96:FE97">
    <cfRule type="expression" dxfId="1033" priority="19444" stopIfTrue="1">
      <formula>NOT(AND(SUM($FE$96:$FE$97) &lt;= 3,AND(NOT($FE$96&lt;0),NOT($FE$97&lt;0)),NOT(AND($FE$96=0,$FE$97=3)),NOT(AND($FE$96=3,$FE$97=0))))</formula>
    </cfRule>
  </conditionalFormatting>
  <conditionalFormatting sqref="FI96:FI97">
    <cfRule type="cellIs" dxfId="1032" priority="19447" stopIfTrue="1" operator="equal">
      <formula>2</formula>
    </cfRule>
  </conditionalFormatting>
  <conditionalFormatting sqref="FI96">
    <cfRule type="expression" dxfId="1031" priority="19446" stopIfTrue="1">
      <formula>$FI$97=2</formula>
    </cfRule>
  </conditionalFormatting>
  <conditionalFormatting sqref="FI97">
    <cfRule type="expression" dxfId="1030" priority="19445" stopIfTrue="1">
      <formula>$FI$96=2</formula>
    </cfRule>
  </conditionalFormatting>
  <conditionalFormatting sqref="FI96:FI97">
    <cfRule type="expression" dxfId="1029" priority="19440" stopIfTrue="1">
      <formula>NOT(AND(SUM($FI$96:$FI$97) &lt;= 3,AND(NOT($FI$96&lt;0),NOT($FI$97&lt;0)),NOT(AND($FI$96=0,$FI$97=3)),NOT(AND($FI$96=3,$FI$97=0))))</formula>
    </cfRule>
  </conditionalFormatting>
  <conditionalFormatting sqref="FM96:FM97">
    <cfRule type="cellIs" dxfId="1028" priority="19443" stopIfTrue="1" operator="equal">
      <formula>2</formula>
    </cfRule>
  </conditionalFormatting>
  <conditionalFormatting sqref="FM96">
    <cfRule type="expression" dxfId="1027" priority="19442" stopIfTrue="1">
      <formula>$FM$97=2</formula>
    </cfRule>
  </conditionalFormatting>
  <conditionalFormatting sqref="FM97">
    <cfRule type="expression" dxfId="1026" priority="19441" stopIfTrue="1">
      <formula>$FM$96=2</formula>
    </cfRule>
  </conditionalFormatting>
  <conditionalFormatting sqref="FM96:FM97">
    <cfRule type="expression" dxfId="1025" priority="19436" stopIfTrue="1">
      <formula>NOT(AND(SUM($FM$96:$FM$97) &lt;= 3,AND(NOT($FM$96&lt;0),NOT($FM$97&lt;0)),NOT(AND($FM$96=0,$FM$97=3)),NOT(AND($FM$96=3,$FM$97=0))))</formula>
    </cfRule>
  </conditionalFormatting>
  <conditionalFormatting sqref="DY100:DY101">
    <cfRule type="cellIs" dxfId="1024" priority="19403" stopIfTrue="1" operator="equal">
      <formula>2</formula>
    </cfRule>
  </conditionalFormatting>
  <conditionalFormatting sqref="DY100">
    <cfRule type="expression" dxfId="1023" priority="19402" stopIfTrue="1">
      <formula>$DY$101=2</formula>
    </cfRule>
  </conditionalFormatting>
  <conditionalFormatting sqref="DY101">
    <cfRule type="expression" dxfId="1022" priority="19401" stopIfTrue="1">
      <formula>$DY$100=2</formula>
    </cfRule>
  </conditionalFormatting>
  <conditionalFormatting sqref="DY100:DY101">
    <cfRule type="expression" dxfId="1021" priority="19396" stopIfTrue="1">
      <formula>NOT(AND(SUM($DY$100:$DY$101) &lt;= 3,AND(NOT($DY$100&lt;0),NOT($DY$101&lt;0)),NOT(AND($DY$100=0,$DY$101=3)),NOT(AND($DY$100=3,$DY$101=0))))</formula>
    </cfRule>
  </conditionalFormatting>
  <conditionalFormatting sqref="EC100:EC101">
    <cfRule type="cellIs" dxfId="1020" priority="19399" stopIfTrue="1" operator="equal">
      <formula>2</formula>
    </cfRule>
  </conditionalFormatting>
  <conditionalFormatting sqref="EC100">
    <cfRule type="expression" dxfId="1019" priority="19398" stopIfTrue="1">
      <formula>$EC$101=2</formula>
    </cfRule>
  </conditionalFormatting>
  <conditionalFormatting sqref="EC101">
    <cfRule type="expression" dxfId="1018" priority="19397" stopIfTrue="1">
      <formula>$EC$100=2</formula>
    </cfRule>
  </conditionalFormatting>
  <conditionalFormatting sqref="EC100:EC101">
    <cfRule type="expression" dxfId="1017" priority="19392" stopIfTrue="1">
      <formula>NOT(AND(SUM($EC$100:$EC$101) &lt;= 3,AND(NOT($EC$100&lt;0),NOT($EC$101&lt;0)),NOT(AND($EC$100=0,$EC$101=3)),NOT(AND($EC$100=3,$EC$101=0))))</formula>
    </cfRule>
  </conditionalFormatting>
  <conditionalFormatting sqref="EG100:EG101">
    <cfRule type="cellIs" dxfId="1016" priority="19395" stopIfTrue="1" operator="equal">
      <formula>2</formula>
    </cfRule>
  </conditionalFormatting>
  <conditionalFormatting sqref="EG100">
    <cfRule type="expression" dxfId="1015" priority="19394" stopIfTrue="1">
      <formula>$EG$101=2</formula>
    </cfRule>
  </conditionalFormatting>
  <conditionalFormatting sqref="EG101">
    <cfRule type="expression" dxfId="1014" priority="19393" stopIfTrue="1">
      <formula>$EG$100=2</formula>
    </cfRule>
  </conditionalFormatting>
  <conditionalFormatting sqref="EG100:EG101">
    <cfRule type="expression" dxfId="1013" priority="19388" stopIfTrue="1">
      <formula>NOT(AND(SUM($EG$100:$EG$101) &lt;= 3,AND(NOT($EG$100&lt;0),NOT($EG$101&lt;0)),NOT(AND($EG$100=0,$EG$101=3)),NOT(AND($EG$100=3,$EG$101=0))))</formula>
    </cfRule>
  </conditionalFormatting>
  <conditionalFormatting sqref="EK100:EK101">
    <cfRule type="cellIs" dxfId="1012" priority="19391" stopIfTrue="1" operator="equal">
      <formula>2</formula>
    </cfRule>
  </conditionalFormatting>
  <conditionalFormatting sqref="EK100">
    <cfRule type="expression" dxfId="1011" priority="19390" stopIfTrue="1">
      <formula>$EK$101=2</formula>
    </cfRule>
  </conditionalFormatting>
  <conditionalFormatting sqref="EK101">
    <cfRule type="expression" dxfId="1010" priority="19389" stopIfTrue="1">
      <formula>$EK$100=2</formula>
    </cfRule>
  </conditionalFormatting>
  <conditionalFormatting sqref="EK100:EK101">
    <cfRule type="expression" dxfId="1009" priority="19384" stopIfTrue="1">
      <formula>NOT(AND(SUM($EK$100:$EK$101) &lt;= 3,AND(NOT($EK$100&lt;0),NOT($EK$101&lt;0)),NOT(AND($EK$100=0,$EK$101=3)),NOT(AND($EK$100=3,$EK$101=0))))</formula>
    </cfRule>
  </conditionalFormatting>
  <conditionalFormatting sqref="EO100:EO101">
    <cfRule type="cellIs" dxfId="1008" priority="19387" stopIfTrue="1" operator="equal">
      <formula>2</formula>
    </cfRule>
  </conditionalFormatting>
  <conditionalFormatting sqref="EO100">
    <cfRule type="expression" dxfId="1007" priority="19386" stopIfTrue="1">
      <formula>$EO$101=2</formula>
    </cfRule>
  </conditionalFormatting>
  <conditionalFormatting sqref="EO101">
    <cfRule type="expression" dxfId="1006" priority="19385" stopIfTrue="1">
      <formula>$EO$100=2</formula>
    </cfRule>
  </conditionalFormatting>
  <conditionalFormatting sqref="EO100:EO101">
    <cfRule type="expression" dxfId="1005" priority="19380" stopIfTrue="1">
      <formula>NOT(AND(SUM($EO$100:$EO$101) &lt;= 3,AND(NOT($EO$100&lt;0),NOT($EO$101&lt;0)),NOT(AND($EO$100=0,$EO$101=3)),NOT(AND($EO$100=3,$EO$101=0))))</formula>
    </cfRule>
  </conditionalFormatting>
  <conditionalFormatting sqref="ES100:ES101">
    <cfRule type="cellIs" dxfId="1004" priority="19383" stopIfTrue="1" operator="equal">
      <formula>2</formula>
    </cfRule>
  </conditionalFormatting>
  <conditionalFormatting sqref="ES100">
    <cfRule type="expression" dxfId="1003" priority="19382" stopIfTrue="1">
      <formula>$ES$101=2</formula>
    </cfRule>
  </conditionalFormatting>
  <conditionalFormatting sqref="ES101">
    <cfRule type="expression" dxfId="1002" priority="19381" stopIfTrue="1">
      <formula>$ES$100=2</formula>
    </cfRule>
  </conditionalFormatting>
  <conditionalFormatting sqref="ES100:ES101">
    <cfRule type="expression" dxfId="1001" priority="19376" stopIfTrue="1">
      <formula>NOT(AND(SUM($ES$100:$ES$101) &lt;= 3,AND(NOT($ES$100&lt;0),NOT($ES$101&lt;0)),NOT(AND($ES$100=0,$ES$101=3)),NOT(AND($ES$100=3,$ES$101=0))))</formula>
    </cfRule>
  </conditionalFormatting>
  <conditionalFormatting sqref="EW100:EW101">
    <cfRule type="cellIs" dxfId="1000" priority="19379" stopIfTrue="1" operator="equal">
      <formula>2</formula>
    </cfRule>
  </conditionalFormatting>
  <conditionalFormatting sqref="EW100">
    <cfRule type="expression" dxfId="999" priority="19378" stopIfTrue="1">
      <formula>$EW$101=2</formula>
    </cfRule>
  </conditionalFormatting>
  <conditionalFormatting sqref="EW101">
    <cfRule type="expression" dxfId="998" priority="19377" stopIfTrue="1">
      <formula>$EW$100=2</formula>
    </cfRule>
  </conditionalFormatting>
  <conditionalFormatting sqref="EW100:EW101">
    <cfRule type="expression" dxfId="997" priority="19372" stopIfTrue="1">
      <formula>NOT(AND(SUM($EW$100:$EW$101) &lt;= 3,AND(NOT($EW$100&lt;0),NOT($EW$101&lt;0)),NOT(AND($EW$100=0,$EW$101=3)),NOT(AND($EW$100=3,$EW$101=0))))</formula>
    </cfRule>
  </conditionalFormatting>
  <conditionalFormatting sqref="FA100:FA101">
    <cfRule type="cellIs" dxfId="996" priority="19375" stopIfTrue="1" operator="equal">
      <formula>2</formula>
    </cfRule>
  </conditionalFormatting>
  <conditionalFormatting sqref="FA100">
    <cfRule type="expression" dxfId="995" priority="19374" stopIfTrue="1">
      <formula>$FA$101=2</formula>
    </cfRule>
  </conditionalFormatting>
  <conditionalFormatting sqref="FA101">
    <cfRule type="expression" dxfId="994" priority="19373" stopIfTrue="1">
      <formula>$FA$100=2</formula>
    </cfRule>
  </conditionalFormatting>
  <conditionalFormatting sqref="FA100:FA101">
    <cfRule type="expression" dxfId="993" priority="19368" stopIfTrue="1">
      <formula>NOT(AND(SUM($FA$100:$FA$101) &lt;= 3,AND(NOT($FA$100&lt;0),NOT($FA$101&lt;0)),NOT(AND($FA$100=0,$FA$101=3)),NOT(AND($FA$100=3,$FA$101=0))))</formula>
    </cfRule>
  </conditionalFormatting>
  <conditionalFormatting sqref="FE100:FE101">
    <cfRule type="cellIs" dxfId="992" priority="19371" stopIfTrue="1" operator="equal">
      <formula>2</formula>
    </cfRule>
  </conditionalFormatting>
  <conditionalFormatting sqref="FE100">
    <cfRule type="expression" dxfId="991" priority="19370" stopIfTrue="1">
      <formula>$FE$101=2</formula>
    </cfRule>
  </conditionalFormatting>
  <conditionalFormatting sqref="FE101">
    <cfRule type="expression" dxfId="990" priority="19369" stopIfTrue="1">
      <formula>$FE$100=2</formula>
    </cfRule>
  </conditionalFormatting>
  <conditionalFormatting sqref="FE100:FE101">
    <cfRule type="expression" dxfId="989" priority="19364" stopIfTrue="1">
      <formula>NOT(AND(SUM($FE$100:$FE$101) &lt;= 3,AND(NOT($FE$100&lt;0),NOT($FE$101&lt;0)),NOT(AND($FE$100=0,$FE$101=3)),NOT(AND($FE$100=3,$FE$101=0))))</formula>
    </cfRule>
  </conditionalFormatting>
  <conditionalFormatting sqref="FI100:FI101">
    <cfRule type="cellIs" dxfId="988" priority="19367" stopIfTrue="1" operator="equal">
      <formula>2</formula>
    </cfRule>
  </conditionalFormatting>
  <conditionalFormatting sqref="FI100">
    <cfRule type="expression" dxfId="987" priority="19366" stopIfTrue="1">
      <formula>$FI$101=2</formula>
    </cfRule>
  </conditionalFormatting>
  <conditionalFormatting sqref="FI101">
    <cfRule type="expression" dxfId="986" priority="19365" stopIfTrue="1">
      <formula>$FI$100=2</formula>
    </cfRule>
  </conditionalFormatting>
  <conditionalFormatting sqref="FI100:FI101">
    <cfRule type="expression" dxfId="985" priority="19360" stopIfTrue="1">
      <formula>NOT(AND(SUM($FI$100:$FI$101) &lt;= 3,AND(NOT($FI$100&lt;0),NOT($FI$101&lt;0)),NOT(AND($FI$100=0,$FI$101=3)),NOT(AND($FI$100=3,$FI$101=0))))</formula>
    </cfRule>
  </conditionalFormatting>
  <conditionalFormatting sqref="FM100:FM101">
    <cfRule type="cellIs" dxfId="984" priority="19363" stopIfTrue="1" operator="equal">
      <formula>2</formula>
    </cfRule>
  </conditionalFormatting>
  <conditionalFormatting sqref="FM100">
    <cfRule type="expression" dxfId="983" priority="19362" stopIfTrue="1">
      <formula>$FM$101=2</formula>
    </cfRule>
  </conditionalFormatting>
  <conditionalFormatting sqref="FM101">
    <cfRule type="expression" dxfId="982" priority="19361" stopIfTrue="1">
      <formula>$FM$100=2</formula>
    </cfRule>
  </conditionalFormatting>
  <conditionalFormatting sqref="FM100:FM101">
    <cfRule type="expression" dxfId="981" priority="19356" stopIfTrue="1">
      <formula>NOT(AND(SUM($FM$100:$FM$101) &lt;= 3,AND(NOT($FM$100&lt;0),NOT($FM$101&lt;0)),NOT(AND($FM$100=0,$FM$101=3)),NOT(AND($FM$100=3,$FM$101=0))))</formula>
    </cfRule>
  </conditionalFormatting>
  <conditionalFormatting sqref="DY104:DY105">
    <cfRule type="cellIs" dxfId="980" priority="19323" stopIfTrue="1" operator="equal">
      <formula>2</formula>
    </cfRule>
  </conditionalFormatting>
  <conditionalFormatting sqref="DY104">
    <cfRule type="expression" dxfId="979" priority="19322" stopIfTrue="1">
      <formula>$DY$105=2</formula>
    </cfRule>
  </conditionalFormatting>
  <conditionalFormatting sqref="DY105">
    <cfRule type="expression" dxfId="978" priority="19321" stopIfTrue="1">
      <formula>$DY$104=2</formula>
    </cfRule>
  </conditionalFormatting>
  <conditionalFormatting sqref="DY104:DY105">
    <cfRule type="expression" dxfId="977" priority="19316" stopIfTrue="1">
      <formula>NOT(AND(SUM($DY$104:$DY$105) &lt;= 3,AND(NOT($DY$104&lt;0),NOT($DY$105&lt;0)),NOT(AND($DY$104=0,$DY$105=3)),NOT(AND($DY$104=3,$DY$105=0))))</formula>
    </cfRule>
  </conditionalFormatting>
  <conditionalFormatting sqref="EC104:EC105">
    <cfRule type="cellIs" dxfId="976" priority="19319" stopIfTrue="1" operator="equal">
      <formula>2</formula>
    </cfRule>
  </conditionalFormatting>
  <conditionalFormatting sqref="EC104">
    <cfRule type="expression" dxfId="975" priority="19318" stopIfTrue="1">
      <formula>$EC$105=2</formula>
    </cfRule>
  </conditionalFormatting>
  <conditionalFormatting sqref="EC105">
    <cfRule type="expression" dxfId="974" priority="19317" stopIfTrue="1">
      <formula>$EC$104=2</formula>
    </cfRule>
  </conditionalFormatting>
  <conditionalFormatting sqref="EC104:EC105">
    <cfRule type="expression" dxfId="973" priority="19312" stopIfTrue="1">
      <formula>NOT(AND(SUM($EC$104:$EC$105) &lt;= 3,AND(NOT($EC$104&lt;0),NOT($EC$105&lt;0)),NOT(AND($EC$104=0,$EC$105=3)),NOT(AND($EC$104=3,$EC$105=0))))</formula>
    </cfRule>
  </conditionalFormatting>
  <conditionalFormatting sqref="EG104:EG105">
    <cfRule type="cellIs" dxfId="972" priority="19315" stopIfTrue="1" operator="equal">
      <formula>2</formula>
    </cfRule>
  </conditionalFormatting>
  <conditionalFormatting sqref="EG104">
    <cfRule type="expression" dxfId="971" priority="19314" stopIfTrue="1">
      <formula>$EG$105=2</formula>
    </cfRule>
  </conditionalFormatting>
  <conditionalFormatting sqref="EG105">
    <cfRule type="expression" dxfId="970" priority="19313" stopIfTrue="1">
      <formula>$EG$104=2</formula>
    </cfRule>
  </conditionalFormatting>
  <conditionalFormatting sqref="EG104:EG105">
    <cfRule type="expression" dxfId="969" priority="19308" stopIfTrue="1">
      <formula>NOT(AND(SUM($EG$104:$EG$105) &lt;= 3,AND(NOT($EG$104&lt;0),NOT($EG$105&lt;0)),NOT(AND($EG$104=0,$EG$105=3)),NOT(AND($EG$104=3,$EG$105=0))))</formula>
    </cfRule>
  </conditionalFormatting>
  <conditionalFormatting sqref="EK104:EK105">
    <cfRule type="cellIs" dxfId="968" priority="19311" stopIfTrue="1" operator="equal">
      <formula>2</formula>
    </cfRule>
  </conditionalFormatting>
  <conditionalFormatting sqref="EK104">
    <cfRule type="expression" dxfId="967" priority="19310" stopIfTrue="1">
      <formula>$EK$105=2</formula>
    </cfRule>
  </conditionalFormatting>
  <conditionalFormatting sqref="EK105">
    <cfRule type="expression" dxfId="966" priority="19309" stopIfTrue="1">
      <formula>$EK$104=2</formula>
    </cfRule>
  </conditionalFormatting>
  <conditionalFormatting sqref="EK104:EK105">
    <cfRule type="expression" dxfId="965" priority="19304" stopIfTrue="1">
      <formula>NOT(AND(SUM($EK$104:$EK$105) &lt;= 3,AND(NOT($EK$104&lt;0),NOT($EK$105&lt;0)),NOT(AND($EK$104=0,$EK$105=3)),NOT(AND($EK$104=3,$EK$105=0))))</formula>
    </cfRule>
  </conditionalFormatting>
  <conditionalFormatting sqref="EO104:EO105">
    <cfRule type="cellIs" dxfId="964" priority="19307" stopIfTrue="1" operator="equal">
      <formula>2</formula>
    </cfRule>
  </conditionalFormatting>
  <conditionalFormatting sqref="EO104">
    <cfRule type="expression" dxfId="963" priority="19306" stopIfTrue="1">
      <formula>$EO$105=2</formula>
    </cfRule>
  </conditionalFormatting>
  <conditionalFormatting sqref="EO105">
    <cfRule type="expression" dxfId="962" priority="19305" stopIfTrue="1">
      <formula>$EO$104=2</formula>
    </cfRule>
  </conditionalFormatting>
  <conditionalFormatting sqref="EO104:EO105">
    <cfRule type="expression" dxfId="961" priority="19300" stopIfTrue="1">
      <formula>NOT(AND(SUM($EO$104:$EO$105) &lt;= 3,AND(NOT($EO$104&lt;0),NOT($EO$105&lt;0)),NOT(AND($EO$104=0,$EO$105=3)),NOT(AND($EO$104=3,$EO$105=0))))</formula>
    </cfRule>
  </conditionalFormatting>
  <conditionalFormatting sqref="ES104:ES105">
    <cfRule type="cellIs" dxfId="960" priority="19303" stopIfTrue="1" operator="equal">
      <formula>2</formula>
    </cfRule>
  </conditionalFormatting>
  <conditionalFormatting sqref="ES104">
    <cfRule type="expression" dxfId="959" priority="19302" stopIfTrue="1">
      <formula>$ES$105=2</formula>
    </cfRule>
  </conditionalFormatting>
  <conditionalFormatting sqref="ES105">
    <cfRule type="expression" dxfId="958" priority="19301" stopIfTrue="1">
      <formula>$ES$104=2</formula>
    </cfRule>
  </conditionalFormatting>
  <conditionalFormatting sqref="ES104:ES105">
    <cfRule type="expression" dxfId="957" priority="19296" stopIfTrue="1">
      <formula>NOT(AND(SUM($ES$104:$ES$105) &lt;= 3,AND(NOT($ES$104&lt;0),NOT($ES$105&lt;0)),NOT(AND($ES$104=0,$ES$105=3)),NOT(AND($ES$104=3,$ES$105=0))))</formula>
    </cfRule>
  </conditionalFormatting>
  <conditionalFormatting sqref="EW104:EW105">
    <cfRule type="cellIs" dxfId="956" priority="19299" stopIfTrue="1" operator="equal">
      <formula>2</formula>
    </cfRule>
  </conditionalFormatting>
  <conditionalFormatting sqref="EW104">
    <cfRule type="expression" dxfId="955" priority="19298" stopIfTrue="1">
      <formula>$EW$105=2</formula>
    </cfRule>
  </conditionalFormatting>
  <conditionalFormatting sqref="EW105">
    <cfRule type="expression" dxfId="954" priority="19297" stopIfTrue="1">
      <formula>$EW$104=2</formula>
    </cfRule>
  </conditionalFormatting>
  <conditionalFormatting sqref="EW104:EW105">
    <cfRule type="expression" dxfId="953" priority="19292" stopIfTrue="1">
      <formula>NOT(AND(SUM($EW$104:$EW$105) &lt;= 3,AND(NOT($EW$104&lt;0),NOT($EW$105&lt;0)),NOT(AND($EW$104=0,$EW$105=3)),NOT(AND($EW$104=3,$EW$105=0))))</formula>
    </cfRule>
  </conditionalFormatting>
  <conditionalFormatting sqref="FA104:FA105">
    <cfRule type="cellIs" dxfId="952" priority="19295" stopIfTrue="1" operator="equal">
      <formula>2</formula>
    </cfRule>
  </conditionalFormatting>
  <conditionalFormatting sqref="FA104">
    <cfRule type="expression" dxfId="951" priority="19294" stopIfTrue="1">
      <formula>$FA$105=2</formula>
    </cfRule>
  </conditionalFormatting>
  <conditionalFormatting sqref="FA105">
    <cfRule type="expression" dxfId="950" priority="19293" stopIfTrue="1">
      <formula>$FA$104=2</formula>
    </cfRule>
  </conditionalFormatting>
  <conditionalFormatting sqref="FA104:FA105">
    <cfRule type="expression" dxfId="949" priority="19288" stopIfTrue="1">
      <formula>NOT(AND(SUM($FA$104:$FA$105) &lt;= 3,AND(NOT($FA$104&lt;0),NOT($FA$105&lt;0)),NOT(AND($FA$104=0,$FA$105=3)),NOT(AND($FA$104=3,$FA$105=0))))</formula>
    </cfRule>
  </conditionalFormatting>
  <conditionalFormatting sqref="FE104:FE105">
    <cfRule type="cellIs" dxfId="948" priority="19291" stopIfTrue="1" operator="equal">
      <formula>2</formula>
    </cfRule>
  </conditionalFormatting>
  <conditionalFormatting sqref="FE104">
    <cfRule type="expression" dxfId="947" priority="19290" stopIfTrue="1">
      <formula>$FE$105=2</formula>
    </cfRule>
  </conditionalFormatting>
  <conditionalFormatting sqref="FE105">
    <cfRule type="expression" dxfId="946" priority="19289" stopIfTrue="1">
      <formula>$FE$104=2</formula>
    </cfRule>
  </conditionalFormatting>
  <conditionalFormatting sqref="FE104:FE105">
    <cfRule type="expression" dxfId="945" priority="19284" stopIfTrue="1">
      <formula>NOT(AND(SUM($FE$104:$FE$105) &lt;= 3,AND(NOT($FE$104&lt;0),NOT($FE$105&lt;0)),NOT(AND($FE$104=0,$FE$105=3)),NOT(AND($FE$104=3,$FE$105=0))))</formula>
    </cfRule>
  </conditionalFormatting>
  <conditionalFormatting sqref="FI104:FI105">
    <cfRule type="cellIs" dxfId="944" priority="19287" stopIfTrue="1" operator="equal">
      <formula>2</formula>
    </cfRule>
  </conditionalFormatting>
  <conditionalFormatting sqref="FI104">
    <cfRule type="expression" dxfId="943" priority="19286" stopIfTrue="1">
      <formula>$FI$105=2</formula>
    </cfRule>
  </conditionalFormatting>
  <conditionalFormatting sqref="FI105">
    <cfRule type="expression" dxfId="942" priority="19285" stopIfTrue="1">
      <formula>$FI$104=2</formula>
    </cfRule>
  </conditionalFormatting>
  <conditionalFormatting sqref="FI104:FI105">
    <cfRule type="expression" dxfId="941" priority="19280" stopIfTrue="1">
      <formula>NOT(AND(SUM($FI$104:$FI$105) &lt;= 3,AND(NOT($FI$104&lt;0),NOT($FI$105&lt;0)),NOT(AND($FI$104=0,$FI$105=3)),NOT(AND($FI$104=3,$FI$105=0))))</formula>
    </cfRule>
  </conditionalFormatting>
  <conditionalFormatting sqref="FM104:FM105">
    <cfRule type="cellIs" dxfId="940" priority="19283" stopIfTrue="1" operator="equal">
      <formula>2</formula>
    </cfRule>
  </conditionalFormatting>
  <conditionalFormatting sqref="FM104">
    <cfRule type="expression" dxfId="939" priority="19282" stopIfTrue="1">
      <formula>$FM$105=2</formula>
    </cfRule>
  </conditionalFormatting>
  <conditionalFormatting sqref="FM105">
    <cfRule type="expression" dxfId="938" priority="19281" stopIfTrue="1">
      <formula>$FM$104=2</formula>
    </cfRule>
  </conditionalFormatting>
  <conditionalFormatting sqref="FM104:FM105">
    <cfRule type="expression" dxfId="937" priority="19276" stopIfTrue="1">
      <formula>NOT(AND(SUM($FM$104:$FM$105) &lt;= 3,AND(NOT($FM$104&lt;0),NOT($FM$105&lt;0)),NOT(AND($FM$104=0,$FM$105=3)),NOT(AND($FM$104=3,$FM$105=0))))</formula>
    </cfRule>
  </conditionalFormatting>
  <conditionalFormatting sqref="DY108:DY109">
    <cfRule type="cellIs" dxfId="936" priority="19243" stopIfTrue="1" operator="equal">
      <formula>2</formula>
    </cfRule>
  </conditionalFormatting>
  <conditionalFormatting sqref="DY108">
    <cfRule type="expression" dxfId="935" priority="19242" stopIfTrue="1">
      <formula>$DY$109=2</formula>
    </cfRule>
  </conditionalFormatting>
  <conditionalFormatting sqref="DY109">
    <cfRule type="expression" dxfId="934" priority="19241" stopIfTrue="1">
      <formula>$DY$108=2</formula>
    </cfRule>
  </conditionalFormatting>
  <conditionalFormatting sqref="DY108:DY109">
    <cfRule type="expression" dxfId="933" priority="19236" stopIfTrue="1">
      <formula>NOT(AND(SUM($DY$108:$DY$109) &lt;= 3,AND(NOT($DY$108&lt;0),NOT($DY$109&lt;0)),NOT(AND($DY$108=0,$DY$109=3)),NOT(AND($DY$108=3,$DY$109=0))))</formula>
    </cfRule>
  </conditionalFormatting>
  <conditionalFormatting sqref="EC108:EC109">
    <cfRule type="cellIs" dxfId="932" priority="19239" stopIfTrue="1" operator="equal">
      <formula>2</formula>
    </cfRule>
  </conditionalFormatting>
  <conditionalFormatting sqref="EC108">
    <cfRule type="expression" dxfId="931" priority="19238" stopIfTrue="1">
      <formula>$EC$109=2</formula>
    </cfRule>
  </conditionalFormatting>
  <conditionalFormatting sqref="EC109">
    <cfRule type="expression" dxfId="930" priority="19237" stopIfTrue="1">
      <formula>$EC$108=2</formula>
    </cfRule>
  </conditionalFormatting>
  <conditionalFormatting sqref="EC108:EC109">
    <cfRule type="expression" dxfId="929" priority="19232" stopIfTrue="1">
      <formula>NOT(AND(SUM($EC$108:$EC$109) &lt;= 3,AND(NOT($EC$108&lt;0),NOT($EC$109&lt;0)),NOT(AND($EC$108=0,$EC$109=3)),NOT(AND($EC$108=3,$EC$109=0))))</formula>
    </cfRule>
  </conditionalFormatting>
  <conditionalFormatting sqref="EG108:EG109">
    <cfRule type="cellIs" dxfId="928" priority="19235" stopIfTrue="1" operator="equal">
      <formula>2</formula>
    </cfRule>
  </conditionalFormatting>
  <conditionalFormatting sqref="EG108">
    <cfRule type="expression" dxfId="927" priority="19234" stopIfTrue="1">
      <formula>$EG$109=2</formula>
    </cfRule>
  </conditionalFormatting>
  <conditionalFormatting sqref="EG109">
    <cfRule type="expression" dxfId="926" priority="19233" stopIfTrue="1">
      <formula>$EG$108=2</formula>
    </cfRule>
  </conditionalFormatting>
  <conditionalFormatting sqref="EG108:EG109">
    <cfRule type="expression" dxfId="925" priority="19228" stopIfTrue="1">
      <formula>NOT(AND(SUM($EG$108:$EG$109) &lt;= 3,AND(NOT($EG$108&lt;0),NOT($EG$109&lt;0)),NOT(AND($EG$108=0,$EG$109=3)),NOT(AND($EG$108=3,$EG$109=0))))</formula>
    </cfRule>
  </conditionalFormatting>
  <conditionalFormatting sqref="EK108:EK109">
    <cfRule type="cellIs" dxfId="924" priority="19231" stopIfTrue="1" operator="equal">
      <formula>2</formula>
    </cfRule>
  </conditionalFormatting>
  <conditionalFormatting sqref="EK108">
    <cfRule type="expression" dxfId="923" priority="19230" stopIfTrue="1">
      <formula>$EK$109=2</formula>
    </cfRule>
  </conditionalFormatting>
  <conditionalFormatting sqref="EK109">
    <cfRule type="expression" dxfId="922" priority="19229" stopIfTrue="1">
      <formula>$EK$108=2</formula>
    </cfRule>
  </conditionalFormatting>
  <conditionalFormatting sqref="EK108:EK109">
    <cfRule type="expression" dxfId="921" priority="19224" stopIfTrue="1">
      <formula>NOT(AND(SUM($EK$108:$EK$109) &lt;= 3,AND(NOT($EK$108&lt;0),NOT($EK$109&lt;0)),NOT(AND($EK$108=0,$EK$109=3)),NOT(AND($EK$108=3,$EK$109=0))))</formula>
    </cfRule>
  </conditionalFormatting>
  <conditionalFormatting sqref="EO108:EO109">
    <cfRule type="cellIs" dxfId="920" priority="19227" stopIfTrue="1" operator="equal">
      <formula>2</formula>
    </cfRule>
  </conditionalFormatting>
  <conditionalFormatting sqref="EO108">
    <cfRule type="expression" dxfId="919" priority="19226" stopIfTrue="1">
      <formula>$EO$109=2</formula>
    </cfRule>
  </conditionalFormatting>
  <conditionalFormatting sqref="EO109">
    <cfRule type="expression" dxfId="918" priority="19225" stopIfTrue="1">
      <formula>$EO$108=2</formula>
    </cfRule>
  </conditionalFormatting>
  <conditionalFormatting sqref="EO108:EO109">
    <cfRule type="expression" dxfId="917" priority="19220" stopIfTrue="1">
      <formula>NOT(AND(SUM($EO$108:$EO$109) &lt;= 3,AND(NOT($EO$108&lt;0),NOT($EO$109&lt;0)),NOT(AND($EO$108=0,$EO$109=3)),NOT(AND($EO$108=3,$EO$109=0))))</formula>
    </cfRule>
  </conditionalFormatting>
  <conditionalFormatting sqref="ES108:ES109">
    <cfRule type="cellIs" dxfId="916" priority="19223" stopIfTrue="1" operator="equal">
      <formula>2</formula>
    </cfRule>
  </conditionalFormatting>
  <conditionalFormatting sqref="ES108">
    <cfRule type="expression" dxfId="915" priority="19222" stopIfTrue="1">
      <formula>$ES$109=2</formula>
    </cfRule>
  </conditionalFormatting>
  <conditionalFormatting sqref="ES109">
    <cfRule type="expression" dxfId="914" priority="19221" stopIfTrue="1">
      <formula>$ES$108=2</formula>
    </cfRule>
  </conditionalFormatting>
  <conditionalFormatting sqref="ES108:ES109">
    <cfRule type="expression" dxfId="913" priority="19216" stopIfTrue="1">
      <formula>NOT(AND(SUM($ES$108:$ES$109) &lt;= 3,AND(NOT($ES$108&lt;0),NOT($ES$109&lt;0)),NOT(AND($ES$108=0,$ES$109=3)),NOT(AND($ES$108=3,$ES$109=0))))</formula>
    </cfRule>
  </conditionalFormatting>
  <conditionalFormatting sqref="EW108:EW109">
    <cfRule type="cellIs" dxfId="912" priority="19219" stopIfTrue="1" operator="equal">
      <formula>2</formula>
    </cfRule>
  </conditionalFormatting>
  <conditionalFormatting sqref="EW108">
    <cfRule type="expression" dxfId="911" priority="19218" stopIfTrue="1">
      <formula>$EW$109=2</formula>
    </cfRule>
  </conditionalFormatting>
  <conditionalFormatting sqref="EW109">
    <cfRule type="expression" dxfId="910" priority="19217" stopIfTrue="1">
      <formula>$EW$108=2</formula>
    </cfRule>
  </conditionalFormatting>
  <conditionalFormatting sqref="EW108:EW109">
    <cfRule type="expression" dxfId="909" priority="19212" stopIfTrue="1">
      <formula>NOT(AND(SUM($EW$108:$EW$109) &lt;= 3,AND(NOT($EW$108&lt;0),NOT($EW$109&lt;0)),NOT(AND($EW$108=0,$EW$109=3)),NOT(AND($EW$108=3,$EW$109=0))))</formula>
    </cfRule>
  </conditionalFormatting>
  <conditionalFormatting sqref="FA108:FA109">
    <cfRule type="cellIs" dxfId="908" priority="19215" stopIfTrue="1" operator="equal">
      <formula>2</formula>
    </cfRule>
  </conditionalFormatting>
  <conditionalFormatting sqref="FA108">
    <cfRule type="expression" dxfId="907" priority="19214" stopIfTrue="1">
      <formula>$FA$109=2</formula>
    </cfRule>
  </conditionalFormatting>
  <conditionalFormatting sqref="FA109">
    <cfRule type="expression" dxfId="906" priority="19213" stopIfTrue="1">
      <formula>$FA$108=2</formula>
    </cfRule>
  </conditionalFormatting>
  <conditionalFormatting sqref="FA108:FA109">
    <cfRule type="expression" dxfId="905" priority="19208" stopIfTrue="1">
      <formula>NOT(AND(SUM($FA$108:$FA$109) &lt;= 3,AND(NOT($FA$108&lt;0),NOT($FA$109&lt;0)),NOT(AND($FA$108=0,$FA$109=3)),NOT(AND($FA$108=3,$FA$109=0))))</formula>
    </cfRule>
  </conditionalFormatting>
  <conditionalFormatting sqref="FE108:FE109">
    <cfRule type="cellIs" dxfId="904" priority="19211" stopIfTrue="1" operator="equal">
      <formula>2</formula>
    </cfRule>
  </conditionalFormatting>
  <conditionalFormatting sqref="FE108">
    <cfRule type="expression" dxfId="903" priority="19210" stopIfTrue="1">
      <formula>$FE$109=2</formula>
    </cfRule>
  </conditionalFormatting>
  <conditionalFormatting sqref="FE109">
    <cfRule type="expression" dxfId="902" priority="19209" stopIfTrue="1">
      <formula>$FE$108=2</formula>
    </cfRule>
  </conditionalFormatting>
  <conditionalFormatting sqref="FE108:FE109">
    <cfRule type="expression" dxfId="901" priority="19204" stopIfTrue="1">
      <formula>NOT(AND(SUM($FE$108:$FE$109) &lt;= 3,AND(NOT($FE$108&lt;0),NOT($FE$109&lt;0)),NOT(AND($FE$108=0,$FE$109=3)),NOT(AND($FE$108=3,$FE$109=0))))</formula>
    </cfRule>
  </conditionalFormatting>
  <conditionalFormatting sqref="FI108:FI109">
    <cfRule type="cellIs" dxfId="900" priority="19207" stopIfTrue="1" operator="equal">
      <formula>2</formula>
    </cfRule>
  </conditionalFormatting>
  <conditionalFormatting sqref="FI108">
    <cfRule type="expression" dxfId="899" priority="19206" stopIfTrue="1">
      <formula>$FI$109=2</formula>
    </cfRule>
  </conditionalFormatting>
  <conditionalFormatting sqref="FI109">
    <cfRule type="expression" dxfId="898" priority="19205" stopIfTrue="1">
      <formula>$FI$108=2</formula>
    </cfRule>
  </conditionalFormatting>
  <conditionalFormatting sqref="FI108:FI109">
    <cfRule type="expression" dxfId="897" priority="19200" stopIfTrue="1">
      <formula>NOT(AND(SUM($FI$108:$FI$109) &lt;= 3,AND(NOT($FI$108&lt;0),NOT($FI$109&lt;0)),NOT(AND($FI$108=0,$FI$109=3)),NOT(AND($FI$108=3,$FI$109=0))))</formula>
    </cfRule>
  </conditionalFormatting>
  <conditionalFormatting sqref="FM108:FM109">
    <cfRule type="cellIs" dxfId="896" priority="19203" stopIfTrue="1" operator="equal">
      <formula>2</formula>
    </cfRule>
  </conditionalFormatting>
  <conditionalFormatting sqref="FM108">
    <cfRule type="expression" dxfId="895" priority="19202" stopIfTrue="1">
      <formula>$FM$109=2</formula>
    </cfRule>
  </conditionalFormatting>
  <conditionalFormatting sqref="FM109">
    <cfRule type="expression" dxfId="894" priority="19201" stopIfTrue="1">
      <formula>$FM$108=2</formula>
    </cfRule>
  </conditionalFormatting>
  <conditionalFormatting sqref="FM108:FM109">
    <cfRule type="expression" dxfId="893" priority="19196" stopIfTrue="1">
      <formula>NOT(AND(SUM($FM$108:$FM$109) &lt;= 3,AND(NOT($FM$108&lt;0),NOT($FM$109&lt;0)),NOT(AND($FM$108=0,$FM$109=3)),NOT(AND($FM$108=3,$FM$109=0))))</formula>
    </cfRule>
  </conditionalFormatting>
  <conditionalFormatting sqref="DY112:DY113">
    <cfRule type="cellIs" dxfId="892" priority="19163" stopIfTrue="1" operator="equal">
      <formula>2</formula>
    </cfRule>
  </conditionalFormatting>
  <conditionalFormatting sqref="DY112">
    <cfRule type="expression" dxfId="891" priority="19162" stopIfTrue="1">
      <formula>$DY$113=2</formula>
    </cfRule>
  </conditionalFormatting>
  <conditionalFormatting sqref="DY113">
    <cfRule type="expression" dxfId="890" priority="19161" stopIfTrue="1">
      <formula>$DY$112=2</formula>
    </cfRule>
  </conditionalFormatting>
  <conditionalFormatting sqref="DY112:DY113">
    <cfRule type="expression" dxfId="889" priority="19156" stopIfTrue="1">
      <formula>NOT(AND(SUM($DY$112:$DY$113) &lt;= 3,AND(NOT($DY$112&lt;0),NOT($DY$113&lt;0)),NOT(AND($DY$112=0,$DY$113=3)),NOT(AND($DY$112=3,$DY$113=0))))</formula>
    </cfRule>
  </conditionalFormatting>
  <conditionalFormatting sqref="EC112:EC113">
    <cfRule type="cellIs" dxfId="888" priority="19159" stopIfTrue="1" operator="equal">
      <formula>2</formula>
    </cfRule>
  </conditionalFormatting>
  <conditionalFormatting sqref="EC112">
    <cfRule type="expression" dxfId="887" priority="19158" stopIfTrue="1">
      <formula>$EC$113=2</formula>
    </cfRule>
  </conditionalFormatting>
  <conditionalFormatting sqref="EC113">
    <cfRule type="expression" dxfId="886" priority="19157" stopIfTrue="1">
      <formula>$EC$112=2</formula>
    </cfRule>
  </conditionalFormatting>
  <conditionalFormatting sqref="EC112:EC113">
    <cfRule type="expression" dxfId="885" priority="19152" stopIfTrue="1">
      <formula>NOT(AND(SUM($EC$112:$EC$113) &lt;= 3,AND(NOT($EC$112&lt;0),NOT($EC$113&lt;0)),NOT(AND($EC$112=0,$EC$113=3)),NOT(AND($EC$112=3,$EC$113=0))))</formula>
    </cfRule>
  </conditionalFormatting>
  <conditionalFormatting sqref="EG112:EG113">
    <cfRule type="cellIs" dxfId="884" priority="19155" stopIfTrue="1" operator="equal">
      <formula>2</formula>
    </cfRule>
  </conditionalFormatting>
  <conditionalFormatting sqref="EG112">
    <cfRule type="expression" dxfId="883" priority="19154" stopIfTrue="1">
      <formula>$EG$113=2</formula>
    </cfRule>
  </conditionalFormatting>
  <conditionalFormatting sqref="EG113">
    <cfRule type="expression" dxfId="882" priority="19153" stopIfTrue="1">
      <formula>$EG$112=2</formula>
    </cfRule>
  </conditionalFormatting>
  <conditionalFormatting sqref="EG112:EG113">
    <cfRule type="expression" dxfId="881" priority="19148" stopIfTrue="1">
      <formula>NOT(AND(SUM($EG$112:$EG$113) &lt;= 3,AND(NOT($EG$112&lt;0),NOT($EG$113&lt;0)),NOT(AND($EG$112=0,$EG$113=3)),NOT(AND($EG$112=3,$EG$113=0))))</formula>
    </cfRule>
  </conditionalFormatting>
  <conditionalFormatting sqref="EK112:EK113">
    <cfRule type="cellIs" dxfId="880" priority="19151" stopIfTrue="1" operator="equal">
      <formula>2</formula>
    </cfRule>
  </conditionalFormatting>
  <conditionalFormatting sqref="EK112">
    <cfRule type="expression" dxfId="879" priority="19150" stopIfTrue="1">
      <formula>$EK$113=2</formula>
    </cfRule>
  </conditionalFormatting>
  <conditionalFormatting sqref="EK113">
    <cfRule type="expression" dxfId="878" priority="19149" stopIfTrue="1">
      <formula>$EK$112=2</formula>
    </cfRule>
  </conditionalFormatting>
  <conditionalFormatting sqref="EK112:EK113">
    <cfRule type="expression" dxfId="877" priority="19144" stopIfTrue="1">
      <formula>NOT(AND(SUM($EK$112:$EK$113) &lt;= 3,AND(NOT($EK$112&lt;0),NOT($EK$113&lt;0)),NOT(AND($EK$112=0,$EK$113=3)),NOT(AND($EK$112=3,$EK$113=0))))</formula>
    </cfRule>
  </conditionalFormatting>
  <conditionalFormatting sqref="EO112:EO113">
    <cfRule type="cellIs" dxfId="876" priority="19147" stopIfTrue="1" operator="equal">
      <formula>2</formula>
    </cfRule>
  </conditionalFormatting>
  <conditionalFormatting sqref="EO112">
    <cfRule type="expression" dxfId="875" priority="19146" stopIfTrue="1">
      <formula>$EO$113=2</formula>
    </cfRule>
  </conditionalFormatting>
  <conditionalFormatting sqref="EO113">
    <cfRule type="expression" dxfId="874" priority="19145" stopIfTrue="1">
      <formula>$EO$112=2</formula>
    </cfRule>
  </conditionalFormatting>
  <conditionalFormatting sqref="EO112:EO113">
    <cfRule type="expression" dxfId="873" priority="19140" stopIfTrue="1">
      <formula>NOT(AND(SUM($EO$112:$EO$113) &lt;= 3,AND(NOT($EO$112&lt;0),NOT($EO$113&lt;0)),NOT(AND($EO$112=0,$EO$113=3)),NOT(AND($EO$112=3,$EO$113=0))))</formula>
    </cfRule>
  </conditionalFormatting>
  <conditionalFormatting sqref="ES112:ES113">
    <cfRule type="cellIs" dxfId="872" priority="19143" stopIfTrue="1" operator="equal">
      <formula>2</formula>
    </cfRule>
  </conditionalFormatting>
  <conditionalFormatting sqref="ES112">
    <cfRule type="expression" dxfId="871" priority="19142" stopIfTrue="1">
      <formula>$ES$113=2</formula>
    </cfRule>
  </conditionalFormatting>
  <conditionalFormatting sqref="ES113">
    <cfRule type="expression" dxfId="870" priority="19141" stopIfTrue="1">
      <formula>$ES$112=2</formula>
    </cfRule>
  </conditionalFormatting>
  <conditionalFormatting sqref="ES112:ES113">
    <cfRule type="expression" dxfId="869" priority="19136" stopIfTrue="1">
      <formula>NOT(AND(SUM($ES$112:$ES$113) &lt;= 3,AND(NOT($ES$112&lt;0),NOT($ES$113&lt;0)),NOT(AND($ES$112=0,$ES$113=3)),NOT(AND($ES$112=3,$ES$113=0))))</formula>
    </cfRule>
  </conditionalFormatting>
  <conditionalFormatting sqref="EW112:EW113">
    <cfRule type="cellIs" dxfId="868" priority="19139" stopIfTrue="1" operator="equal">
      <formula>2</formula>
    </cfRule>
  </conditionalFormatting>
  <conditionalFormatting sqref="EW112">
    <cfRule type="expression" dxfId="867" priority="19138" stopIfTrue="1">
      <formula>$EW$113=2</formula>
    </cfRule>
  </conditionalFormatting>
  <conditionalFormatting sqref="EW113">
    <cfRule type="expression" dxfId="866" priority="19137" stopIfTrue="1">
      <formula>$EW$112=2</formula>
    </cfRule>
  </conditionalFormatting>
  <conditionalFormatting sqref="EW112:EW113">
    <cfRule type="expression" dxfId="865" priority="19132" stopIfTrue="1">
      <formula>NOT(AND(SUM($EW$112:$EW$113) &lt;= 3,AND(NOT($EW$112&lt;0),NOT($EW$113&lt;0)),NOT(AND($EW$112=0,$EW$113=3)),NOT(AND($EW$112=3,$EW$113=0))))</formula>
    </cfRule>
  </conditionalFormatting>
  <conditionalFormatting sqref="FA112:FA113">
    <cfRule type="cellIs" dxfId="864" priority="19135" stopIfTrue="1" operator="equal">
      <formula>2</formula>
    </cfRule>
  </conditionalFormatting>
  <conditionalFormatting sqref="FA112">
    <cfRule type="expression" dxfId="863" priority="19134" stopIfTrue="1">
      <formula>$FA$113=2</formula>
    </cfRule>
  </conditionalFormatting>
  <conditionalFormatting sqref="FA113">
    <cfRule type="expression" dxfId="862" priority="19133" stopIfTrue="1">
      <formula>$FA$112=2</formula>
    </cfRule>
  </conditionalFormatting>
  <conditionalFormatting sqref="FA112:FA113">
    <cfRule type="expression" dxfId="861" priority="19128" stopIfTrue="1">
      <formula>NOT(AND(SUM($FA$112:$FA$113) &lt;= 3,AND(NOT($FA$112&lt;0),NOT($FA$113&lt;0)),NOT(AND($FA$112=0,$FA$113=3)),NOT(AND($FA$112=3,$FA$113=0))))</formula>
    </cfRule>
  </conditionalFormatting>
  <conditionalFormatting sqref="FE112:FE113">
    <cfRule type="cellIs" dxfId="860" priority="19131" stopIfTrue="1" operator="equal">
      <formula>2</formula>
    </cfRule>
  </conditionalFormatting>
  <conditionalFormatting sqref="FE112">
    <cfRule type="expression" dxfId="859" priority="19130" stopIfTrue="1">
      <formula>$FE$113=2</formula>
    </cfRule>
  </conditionalFormatting>
  <conditionalFormatting sqref="FE113">
    <cfRule type="expression" dxfId="858" priority="19129" stopIfTrue="1">
      <formula>$FE$112=2</formula>
    </cfRule>
  </conditionalFormatting>
  <conditionalFormatting sqref="FE112:FE113">
    <cfRule type="expression" dxfId="857" priority="19124" stopIfTrue="1">
      <formula>NOT(AND(SUM($FE$112:$FE$113) &lt;= 3,AND(NOT($FE$112&lt;0),NOT($FE$113&lt;0)),NOT(AND($FE$112=0,$FE$113=3)),NOT(AND($FE$112=3,$FE$113=0))))</formula>
    </cfRule>
  </conditionalFormatting>
  <conditionalFormatting sqref="FI112:FI113">
    <cfRule type="cellIs" dxfId="856" priority="19127" stopIfTrue="1" operator="equal">
      <formula>2</formula>
    </cfRule>
  </conditionalFormatting>
  <conditionalFormatting sqref="FI112">
    <cfRule type="expression" dxfId="855" priority="19126" stopIfTrue="1">
      <formula>$FI$113=2</formula>
    </cfRule>
  </conditionalFormatting>
  <conditionalFormatting sqref="FI113">
    <cfRule type="expression" dxfId="854" priority="19125" stopIfTrue="1">
      <formula>$FI$112=2</formula>
    </cfRule>
  </conditionalFormatting>
  <conditionalFormatting sqref="FI112:FI113">
    <cfRule type="expression" dxfId="853" priority="19120" stopIfTrue="1">
      <formula>NOT(AND(SUM($FI$112:$FI$113) &lt;= 3,AND(NOT($FI$112&lt;0),NOT($FI$113&lt;0)),NOT(AND($FI$112=0,$FI$113=3)),NOT(AND($FI$112=3,$FI$113=0))))</formula>
    </cfRule>
  </conditionalFormatting>
  <conditionalFormatting sqref="FM112:FM113">
    <cfRule type="cellIs" dxfId="852" priority="19123" stopIfTrue="1" operator="equal">
      <formula>2</formula>
    </cfRule>
  </conditionalFormatting>
  <conditionalFormatting sqref="FM112">
    <cfRule type="expression" dxfId="851" priority="19122" stopIfTrue="1">
      <formula>$FM$113=2</formula>
    </cfRule>
  </conditionalFormatting>
  <conditionalFormatting sqref="FM113">
    <cfRule type="expression" dxfId="850" priority="19121" stopIfTrue="1">
      <formula>$FM$112=2</formula>
    </cfRule>
  </conditionalFormatting>
  <conditionalFormatting sqref="FM112:FM113">
    <cfRule type="expression" dxfId="849" priority="19116" stopIfTrue="1">
      <formula>NOT(AND(SUM($FM$112:$FM$113) &lt;= 3,AND(NOT($FM$112&lt;0),NOT($FM$113&lt;0)),NOT(AND($FM$112=0,$FM$113=3)),NOT(AND($FM$112=3,$FM$113=0))))</formula>
    </cfRule>
  </conditionalFormatting>
  <conditionalFormatting sqref="DY116:DY117">
    <cfRule type="cellIs" dxfId="848" priority="19083" stopIfTrue="1" operator="equal">
      <formula>2</formula>
    </cfRule>
  </conditionalFormatting>
  <conditionalFormatting sqref="DY116">
    <cfRule type="expression" dxfId="847" priority="19082" stopIfTrue="1">
      <formula>$DY$117=2</formula>
    </cfRule>
  </conditionalFormatting>
  <conditionalFormatting sqref="DY117">
    <cfRule type="expression" dxfId="846" priority="19081" stopIfTrue="1">
      <formula>$DY$116=2</formula>
    </cfRule>
  </conditionalFormatting>
  <conditionalFormatting sqref="DY116:DY117">
    <cfRule type="expression" dxfId="845" priority="19076" stopIfTrue="1">
      <formula>NOT(AND(SUM($DY$116:$DY$117) &lt;= 3,AND(NOT($DY$116&lt;0),NOT($DY$117&lt;0)),NOT(AND($DY$116=0,$DY$117=3)),NOT(AND($DY$116=3,$DY$117=0))))</formula>
    </cfRule>
  </conditionalFormatting>
  <conditionalFormatting sqref="EC116:EC117">
    <cfRule type="cellIs" dxfId="844" priority="19079" stopIfTrue="1" operator="equal">
      <formula>2</formula>
    </cfRule>
  </conditionalFormatting>
  <conditionalFormatting sqref="EC116">
    <cfRule type="expression" dxfId="843" priority="19078" stopIfTrue="1">
      <formula>$EC$117=2</formula>
    </cfRule>
  </conditionalFormatting>
  <conditionalFormatting sqref="EC117">
    <cfRule type="expression" dxfId="842" priority="19077" stopIfTrue="1">
      <formula>$EC$116=2</formula>
    </cfRule>
  </conditionalFormatting>
  <conditionalFormatting sqref="EC116:EC117">
    <cfRule type="expression" dxfId="841" priority="19072" stopIfTrue="1">
      <formula>NOT(AND(SUM($EC$116:$EC$117) &lt;= 3,AND(NOT($EC$116&lt;0),NOT($EC$117&lt;0)),NOT(AND($EC$116=0,$EC$117=3)),NOT(AND($EC$116=3,$EC$117=0))))</formula>
    </cfRule>
  </conditionalFormatting>
  <conditionalFormatting sqref="EG116:EG117">
    <cfRule type="cellIs" dxfId="840" priority="19075" stopIfTrue="1" operator="equal">
      <formula>2</formula>
    </cfRule>
  </conditionalFormatting>
  <conditionalFormatting sqref="EG116">
    <cfRule type="expression" dxfId="839" priority="19074" stopIfTrue="1">
      <formula>$EG$117=2</formula>
    </cfRule>
  </conditionalFormatting>
  <conditionalFormatting sqref="EG117">
    <cfRule type="expression" dxfId="838" priority="19073" stopIfTrue="1">
      <formula>$EG$116=2</formula>
    </cfRule>
  </conditionalFormatting>
  <conditionalFormatting sqref="EG116:EG117">
    <cfRule type="expression" dxfId="837" priority="19068" stopIfTrue="1">
      <formula>NOT(AND(SUM($EG$116:$EG$117) &lt;= 3,AND(NOT($EG$116&lt;0),NOT($EG$117&lt;0)),NOT(AND($EG$116=0,$EG$117=3)),NOT(AND($EG$116=3,$EG$117=0))))</formula>
    </cfRule>
  </conditionalFormatting>
  <conditionalFormatting sqref="EK116:EK117">
    <cfRule type="cellIs" dxfId="836" priority="19071" stopIfTrue="1" operator="equal">
      <formula>2</formula>
    </cfRule>
  </conditionalFormatting>
  <conditionalFormatting sqref="EK116">
    <cfRule type="expression" dxfId="835" priority="19070" stopIfTrue="1">
      <formula>$EK$117=2</formula>
    </cfRule>
  </conditionalFormatting>
  <conditionalFormatting sqref="EK117">
    <cfRule type="expression" dxfId="834" priority="19069" stopIfTrue="1">
      <formula>$EK$116=2</formula>
    </cfRule>
  </conditionalFormatting>
  <conditionalFormatting sqref="EK116:EK117">
    <cfRule type="expression" dxfId="833" priority="19064" stopIfTrue="1">
      <formula>NOT(AND(SUM($EK$116:$EK$117) &lt;= 3,AND(NOT($EK$116&lt;0),NOT($EK$117&lt;0)),NOT(AND($EK$116=0,$EK$117=3)),NOT(AND($EK$116=3,$EK$117=0))))</formula>
    </cfRule>
  </conditionalFormatting>
  <conditionalFormatting sqref="EO116:EO117">
    <cfRule type="cellIs" dxfId="832" priority="19067" stopIfTrue="1" operator="equal">
      <formula>2</formula>
    </cfRule>
  </conditionalFormatting>
  <conditionalFormatting sqref="EO116">
    <cfRule type="expression" dxfId="831" priority="19066" stopIfTrue="1">
      <formula>$EO$117=2</formula>
    </cfRule>
  </conditionalFormatting>
  <conditionalFormatting sqref="EO117">
    <cfRule type="expression" dxfId="830" priority="19065" stopIfTrue="1">
      <formula>$EO$116=2</formula>
    </cfRule>
  </conditionalFormatting>
  <conditionalFormatting sqref="EO116:EO117">
    <cfRule type="expression" dxfId="829" priority="19060" stopIfTrue="1">
      <formula>NOT(AND(SUM($EO$116:$EO$117) &lt;= 3,AND(NOT($EO$116&lt;0),NOT($EO$117&lt;0)),NOT(AND($EO$116=0,$EO$117=3)),NOT(AND($EO$116=3,$EO$117=0))))</formula>
    </cfRule>
  </conditionalFormatting>
  <conditionalFormatting sqref="ES116:ES117">
    <cfRule type="cellIs" dxfId="828" priority="19063" stopIfTrue="1" operator="equal">
      <formula>2</formula>
    </cfRule>
  </conditionalFormatting>
  <conditionalFormatting sqref="ES116">
    <cfRule type="expression" dxfId="827" priority="19062" stopIfTrue="1">
      <formula>$ES$117=2</formula>
    </cfRule>
  </conditionalFormatting>
  <conditionalFormatting sqref="ES117">
    <cfRule type="expression" dxfId="826" priority="19061" stopIfTrue="1">
      <formula>$ES$116=2</formula>
    </cfRule>
  </conditionalFormatting>
  <conditionalFormatting sqref="ES116:ES117">
    <cfRule type="expression" dxfId="825" priority="19056" stopIfTrue="1">
      <formula>NOT(AND(SUM($ES$116:$ES$117) &lt;= 3,AND(NOT($ES$116&lt;0),NOT($ES$117&lt;0)),NOT(AND($ES$116=0,$ES$117=3)),NOT(AND($ES$116=3,$ES$117=0))))</formula>
    </cfRule>
  </conditionalFormatting>
  <conditionalFormatting sqref="EW116:EW117">
    <cfRule type="cellIs" dxfId="824" priority="19059" stopIfTrue="1" operator="equal">
      <formula>2</formula>
    </cfRule>
  </conditionalFormatting>
  <conditionalFormatting sqref="EW116">
    <cfRule type="expression" dxfId="823" priority="19058" stopIfTrue="1">
      <formula>$EW$117=2</formula>
    </cfRule>
  </conditionalFormatting>
  <conditionalFormatting sqref="EW117">
    <cfRule type="expression" dxfId="822" priority="19057" stopIfTrue="1">
      <formula>$EW$116=2</formula>
    </cfRule>
  </conditionalFormatting>
  <conditionalFormatting sqref="EW116:EW117">
    <cfRule type="expression" dxfId="821" priority="19052" stopIfTrue="1">
      <formula>NOT(AND(SUM($EW$116:$EW$117) &lt;= 3,AND(NOT($EW$116&lt;0),NOT($EW$117&lt;0)),NOT(AND($EW$116=0,$EW$117=3)),NOT(AND($EW$116=3,$EW$117=0))))</formula>
    </cfRule>
  </conditionalFormatting>
  <conditionalFormatting sqref="FA116:FA117">
    <cfRule type="cellIs" dxfId="820" priority="19055" stopIfTrue="1" operator="equal">
      <formula>2</formula>
    </cfRule>
  </conditionalFormatting>
  <conditionalFormatting sqref="FA116">
    <cfRule type="expression" dxfId="819" priority="19054" stopIfTrue="1">
      <formula>$FA$117=2</formula>
    </cfRule>
  </conditionalFormatting>
  <conditionalFormatting sqref="FA117">
    <cfRule type="expression" dxfId="818" priority="19053" stopIfTrue="1">
      <formula>$FA$116=2</formula>
    </cfRule>
  </conditionalFormatting>
  <conditionalFormatting sqref="FA116:FA117">
    <cfRule type="expression" dxfId="817" priority="19048" stopIfTrue="1">
      <formula>NOT(AND(SUM($FA$116:$FA$117) &lt;= 3,AND(NOT($FA$116&lt;0),NOT($FA$117&lt;0)),NOT(AND($FA$116=0,$FA$117=3)),NOT(AND($FA$116=3,$FA$117=0))))</formula>
    </cfRule>
  </conditionalFormatting>
  <conditionalFormatting sqref="FE116:FE117">
    <cfRule type="cellIs" dxfId="816" priority="19051" stopIfTrue="1" operator="equal">
      <formula>2</formula>
    </cfRule>
  </conditionalFormatting>
  <conditionalFormatting sqref="FE116">
    <cfRule type="expression" dxfId="815" priority="19050" stopIfTrue="1">
      <formula>$FE$117=2</formula>
    </cfRule>
  </conditionalFormatting>
  <conditionalFormatting sqref="FE117">
    <cfRule type="expression" dxfId="814" priority="19049" stopIfTrue="1">
      <formula>$FE$116=2</formula>
    </cfRule>
  </conditionalFormatting>
  <conditionalFormatting sqref="FE116:FE117">
    <cfRule type="expression" dxfId="813" priority="19044" stopIfTrue="1">
      <formula>NOT(AND(SUM($FE$116:$FE$117) &lt;= 3,AND(NOT($FE$116&lt;0),NOT($FE$117&lt;0)),NOT(AND($FE$116=0,$FE$117=3)),NOT(AND($FE$116=3,$FE$117=0))))</formula>
    </cfRule>
  </conditionalFormatting>
  <conditionalFormatting sqref="FI116:FI117">
    <cfRule type="cellIs" dxfId="812" priority="19047" stopIfTrue="1" operator="equal">
      <formula>2</formula>
    </cfRule>
  </conditionalFormatting>
  <conditionalFormatting sqref="FI116">
    <cfRule type="expression" dxfId="811" priority="19046" stopIfTrue="1">
      <formula>$FI$117=2</formula>
    </cfRule>
  </conditionalFormatting>
  <conditionalFormatting sqref="FI117">
    <cfRule type="expression" dxfId="810" priority="19045" stopIfTrue="1">
      <formula>$FI$116=2</formula>
    </cfRule>
  </conditionalFormatting>
  <conditionalFormatting sqref="FI116:FI117">
    <cfRule type="expression" dxfId="809" priority="19040" stopIfTrue="1">
      <formula>NOT(AND(SUM($FI$116:$FI$117) &lt;= 3,AND(NOT($FI$116&lt;0),NOT($FI$117&lt;0)),NOT(AND($FI$116=0,$FI$117=3)),NOT(AND($FI$116=3,$FI$117=0))))</formula>
    </cfRule>
  </conditionalFormatting>
  <conditionalFormatting sqref="FM116:FM117">
    <cfRule type="cellIs" dxfId="808" priority="19043" stopIfTrue="1" operator="equal">
      <formula>2</formula>
    </cfRule>
  </conditionalFormatting>
  <conditionalFormatting sqref="FM116">
    <cfRule type="expression" dxfId="807" priority="19042" stopIfTrue="1">
      <formula>$FM$117=2</formula>
    </cfRule>
  </conditionalFormatting>
  <conditionalFormatting sqref="FM117">
    <cfRule type="expression" dxfId="806" priority="19041" stopIfTrue="1">
      <formula>$FM$116=2</formula>
    </cfRule>
  </conditionalFormatting>
  <conditionalFormatting sqref="FM116:FM117">
    <cfRule type="expression" dxfId="805" priority="19036" stopIfTrue="1">
      <formula>NOT(AND(SUM($FM$116:$FM$117) &lt;= 3,AND(NOT($FM$116&lt;0),NOT($FM$117&lt;0)),NOT(AND($FM$116=0,$FM$117=3)),NOT(AND($FM$116=3,$FM$117=0))))</formula>
    </cfRule>
  </conditionalFormatting>
  <conditionalFormatting sqref="DY120:DY121">
    <cfRule type="cellIs" dxfId="804" priority="19003" stopIfTrue="1" operator="equal">
      <formula>2</formula>
    </cfRule>
  </conditionalFormatting>
  <conditionalFormatting sqref="DY120">
    <cfRule type="expression" dxfId="803" priority="19002" stopIfTrue="1">
      <formula>$DY$121=2</formula>
    </cfRule>
  </conditionalFormatting>
  <conditionalFormatting sqref="DY121">
    <cfRule type="expression" dxfId="802" priority="19001" stopIfTrue="1">
      <formula>$DY$120=2</formula>
    </cfRule>
  </conditionalFormatting>
  <conditionalFormatting sqref="DY120:DY121">
    <cfRule type="expression" dxfId="801" priority="18996" stopIfTrue="1">
      <formula>NOT(AND(SUM($DY$120:$DY$121) &lt;= 3,AND(NOT($DY$120&lt;0),NOT($DY$121&lt;0)),NOT(AND($DY$120=0,$DY$121=3)),NOT(AND($DY$120=3,$DY$121=0))))</formula>
    </cfRule>
  </conditionalFormatting>
  <conditionalFormatting sqref="EC120:EC121">
    <cfRule type="cellIs" dxfId="800" priority="18999" stopIfTrue="1" operator="equal">
      <formula>2</formula>
    </cfRule>
  </conditionalFormatting>
  <conditionalFormatting sqref="EC120">
    <cfRule type="expression" dxfId="799" priority="18998" stopIfTrue="1">
      <formula>$EC$121=2</formula>
    </cfRule>
  </conditionalFormatting>
  <conditionalFormatting sqref="EC121">
    <cfRule type="expression" dxfId="798" priority="18997" stopIfTrue="1">
      <formula>$EC$120=2</formula>
    </cfRule>
  </conditionalFormatting>
  <conditionalFormatting sqref="EC120:EC121">
    <cfRule type="expression" dxfId="797" priority="18992" stopIfTrue="1">
      <formula>NOT(AND(SUM($EC$120:$EC$121) &lt;= 3,AND(NOT($EC$120&lt;0),NOT($EC$121&lt;0)),NOT(AND($EC$120=0,$EC$121=3)),NOT(AND($EC$120=3,$EC$121=0))))</formula>
    </cfRule>
  </conditionalFormatting>
  <conditionalFormatting sqref="EG120:EG121">
    <cfRule type="cellIs" dxfId="796" priority="18995" stopIfTrue="1" operator="equal">
      <formula>2</formula>
    </cfRule>
  </conditionalFormatting>
  <conditionalFormatting sqref="EG120">
    <cfRule type="expression" dxfId="795" priority="18994" stopIfTrue="1">
      <formula>$EG$121=2</formula>
    </cfRule>
  </conditionalFormatting>
  <conditionalFormatting sqref="EG121">
    <cfRule type="expression" dxfId="794" priority="18993" stopIfTrue="1">
      <formula>$EG$120=2</formula>
    </cfRule>
  </conditionalFormatting>
  <conditionalFormatting sqref="EG120:EG121">
    <cfRule type="expression" dxfId="793" priority="18988" stopIfTrue="1">
      <formula>NOT(AND(SUM($EG$120:$EG$121) &lt;= 3,AND(NOT($EG$120&lt;0),NOT($EG$121&lt;0)),NOT(AND($EG$120=0,$EG$121=3)),NOT(AND($EG$120=3,$EG$121=0))))</formula>
    </cfRule>
  </conditionalFormatting>
  <conditionalFormatting sqref="EK120:EK121">
    <cfRule type="cellIs" dxfId="792" priority="18991" stopIfTrue="1" operator="equal">
      <formula>2</formula>
    </cfRule>
  </conditionalFormatting>
  <conditionalFormatting sqref="EK120">
    <cfRule type="expression" dxfId="791" priority="18990" stopIfTrue="1">
      <formula>$EK$121=2</formula>
    </cfRule>
  </conditionalFormatting>
  <conditionalFormatting sqref="EK121">
    <cfRule type="expression" dxfId="790" priority="18989" stopIfTrue="1">
      <formula>$EK$120=2</formula>
    </cfRule>
  </conditionalFormatting>
  <conditionalFormatting sqref="EK120:EK121">
    <cfRule type="expression" dxfId="789" priority="18984" stopIfTrue="1">
      <formula>NOT(AND(SUM($EK$120:$EK$121) &lt;= 3,AND(NOT($EK$120&lt;0),NOT($EK$121&lt;0)),NOT(AND($EK$120=0,$EK$121=3)),NOT(AND($EK$120=3,$EK$121=0))))</formula>
    </cfRule>
  </conditionalFormatting>
  <conditionalFormatting sqref="EO120:EO121">
    <cfRule type="cellIs" dxfId="788" priority="18987" stopIfTrue="1" operator="equal">
      <formula>2</formula>
    </cfRule>
  </conditionalFormatting>
  <conditionalFormatting sqref="EO120">
    <cfRule type="expression" dxfId="787" priority="18986" stopIfTrue="1">
      <formula>$EO$121=2</formula>
    </cfRule>
  </conditionalFormatting>
  <conditionalFormatting sqref="EO121">
    <cfRule type="expression" dxfId="786" priority="18985" stopIfTrue="1">
      <formula>$EO$120=2</formula>
    </cfRule>
  </conditionalFormatting>
  <conditionalFormatting sqref="EO120:EO121">
    <cfRule type="expression" dxfId="785" priority="18980" stopIfTrue="1">
      <formula>NOT(AND(SUM($EO$120:$EO$121) &lt;= 3,AND(NOT($EO$120&lt;0),NOT($EO$121&lt;0)),NOT(AND($EO$120=0,$EO$121=3)),NOT(AND($EO$120=3,$EO$121=0))))</formula>
    </cfRule>
  </conditionalFormatting>
  <conditionalFormatting sqref="ES120:ES121">
    <cfRule type="cellIs" dxfId="784" priority="18983" stopIfTrue="1" operator="equal">
      <formula>2</formula>
    </cfRule>
  </conditionalFormatting>
  <conditionalFormatting sqref="ES120">
    <cfRule type="expression" dxfId="783" priority="18982" stopIfTrue="1">
      <formula>$ES$121=2</formula>
    </cfRule>
  </conditionalFormatting>
  <conditionalFormatting sqref="ES121">
    <cfRule type="expression" dxfId="782" priority="18981" stopIfTrue="1">
      <formula>$ES$120=2</formula>
    </cfRule>
  </conditionalFormatting>
  <conditionalFormatting sqref="ES120:ES121">
    <cfRule type="expression" dxfId="781" priority="18976" stopIfTrue="1">
      <formula>NOT(AND(SUM($ES$120:$ES$121) &lt;= 3,AND(NOT($ES$120&lt;0),NOT($ES$121&lt;0)),NOT(AND($ES$120=0,$ES$121=3)),NOT(AND($ES$120=3,$ES$121=0))))</formula>
    </cfRule>
  </conditionalFormatting>
  <conditionalFormatting sqref="EW120:EW121">
    <cfRule type="cellIs" dxfId="780" priority="18979" stopIfTrue="1" operator="equal">
      <formula>2</formula>
    </cfRule>
  </conditionalFormatting>
  <conditionalFormatting sqref="EW120">
    <cfRule type="expression" dxfId="779" priority="18978" stopIfTrue="1">
      <formula>$EW$121=2</formula>
    </cfRule>
  </conditionalFormatting>
  <conditionalFormatting sqref="EW121">
    <cfRule type="expression" dxfId="778" priority="18977" stopIfTrue="1">
      <formula>$EW$120=2</formula>
    </cfRule>
  </conditionalFormatting>
  <conditionalFormatting sqref="EW120:EW121">
    <cfRule type="expression" dxfId="777" priority="18972" stopIfTrue="1">
      <formula>NOT(AND(SUM($EW$120:$EW$121) &lt;= 3,AND(NOT($EW$120&lt;0),NOT($EW$121&lt;0)),NOT(AND($EW$120=0,$EW$121=3)),NOT(AND($EW$120=3,$EW$121=0))))</formula>
    </cfRule>
  </conditionalFormatting>
  <conditionalFormatting sqref="FA120:FA121">
    <cfRule type="cellIs" dxfId="776" priority="18975" stopIfTrue="1" operator="equal">
      <formula>2</formula>
    </cfRule>
  </conditionalFormatting>
  <conditionalFormatting sqref="FA120">
    <cfRule type="expression" dxfId="775" priority="18974" stopIfTrue="1">
      <formula>$FA$121=2</formula>
    </cfRule>
  </conditionalFormatting>
  <conditionalFormatting sqref="FA121">
    <cfRule type="expression" dxfId="774" priority="18973" stopIfTrue="1">
      <formula>$FA$120=2</formula>
    </cfRule>
  </conditionalFormatting>
  <conditionalFormatting sqref="FA120:FA121">
    <cfRule type="expression" dxfId="773" priority="18968" stopIfTrue="1">
      <formula>NOT(AND(SUM($FA$120:$FA$121) &lt;= 3,AND(NOT($FA$120&lt;0),NOT($FA$121&lt;0)),NOT(AND($FA$120=0,$FA$121=3)),NOT(AND($FA$120=3,$FA$121=0))))</formula>
    </cfRule>
  </conditionalFormatting>
  <conditionalFormatting sqref="FE120:FE121">
    <cfRule type="cellIs" dxfId="772" priority="18971" stopIfTrue="1" operator="equal">
      <formula>2</formula>
    </cfRule>
  </conditionalFormatting>
  <conditionalFormatting sqref="FE120">
    <cfRule type="expression" dxfId="771" priority="18970" stopIfTrue="1">
      <formula>$FE$121=2</formula>
    </cfRule>
  </conditionalFormatting>
  <conditionalFormatting sqref="FE121">
    <cfRule type="expression" dxfId="770" priority="18969" stopIfTrue="1">
      <formula>$FE$120=2</formula>
    </cfRule>
  </conditionalFormatting>
  <conditionalFormatting sqref="FE120:FE121">
    <cfRule type="expression" dxfId="769" priority="18964" stopIfTrue="1">
      <formula>NOT(AND(SUM($FE$120:$FE$121) &lt;= 3,AND(NOT($FE$120&lt;0),NOT($FE$121&lt;0)),NOT(AND($FE$120=0,$FE$121=3)),NOT(AND($FE$120=3,$FE$121=0))))</formula>
    </cfRule>
  </conditionalFormatting>
  <conditionalFormatting sqref="FI120:FI121">
    <cfRule type="cellIs" dxfId="768" priority="18967" stopIfTrue="1" operator="equal">
      <formula>2</formula>
    </cfRule>
  </conditionalFormatting>
  <conditionalFormatting sqref="FI120">
    <cfRule type="expression" dxfId="767" priority="18966" stopIfTrue="1">
      <formula>$FI$121=2</formula>
    </cfRule>
  </conditionalFormatting>
  <conditionalFormatting sqref="FI121">
    <cfRule type="expression" dxfId="766" priority="18965" stopIfTrue="1">
      <formula>$FI$120=2</formula>
    </cfRule>
  </conditionalFormatting>
  <conditionalFormatting sqref="FI120:FI121">
    <cfRule type="expression" dxfId="765" priority="18960" stopIfTrue="1">
      <formula>NOT(AND(SUM($FI$120:$FI$121) &lt;= 3,AND(NOT($FI$120&lt;0),NOT($FI$121&lt;0)),NOT(AND($FI$120=0,$FI$121=3)),NOT(AND($FI$120=3,$FI$121=0))))</formula>
    </cfRule>
  </conditionalFormatting>
  <conditionalFormatting sqref="FM120:FM121">
    <cfRule type="cellIs" dxfId="764" priority="18963" stopIfTrue="1" operator="equal">
      <formula>2</formula>
    </cfRule>
  </conditionalFormatting>
  <conditionalFormatting sqref="FM120">
    <cfRule type="expression" dxfId="763" priority="18962" stopIfTrue="1">
      <formula>$FM$121=2</formula>
    </cfRule>
  </conditionalFormatting>
  <conditionalFormatting sqref="FM121">
    <cfRule type="expression" dxfId="762" priority="18961" stopIfTrue="1">
      <formula>$FM$120=2</formula>
    </cfRule>
  </conditionalFormatting>
  <conditionalFormatting sqref="FM120:FM121">
    <cfRule type="expression" dxfId="761" priority="18956" stopIfTrue="1">
      <formula>NOT(AND(SUM($FM$120:$FM$121) &lt;= 3,AND(NOT($FM$120&lt;0),NOT($FM$121&lt;0)),NOT(AND($FM$120=0,$FM$121=3)),NOT(AND($FM$120=3,$FM$121=0))))</formula>
    </cfRule>
  </conditionalFormatting>
  <conditionalFormatting sqref="DY124:DY125">
    <cfRule type="cellIs" dxfId="760" priority="18923" stopIfTrue="1" operator="equal">
      <formula>2</formula>
    </cfRule>
  </conditionalFormatting>
  <conditionalFormatting sqref="DY124">
    <cfRule type="expression" dxfId="759" priority="18922" stopIfTrue="1">
      <formula>$DY$125=2</formula>
    </cfRule>
  </conditionalFormatting>
  <conditionalFormatting sqref="DY125">
    <cfRule type="expression" dxfId="758" priority="18921" stopIfTrue="1">
      <formula>$DY$124=2</formula>
    </cfRule>
  </conditionalFormatting>
  <conditionalFormatting sqref="DY124:DY125">
    <cfRule type="expression" dxfId="757" priority="18916" stopIfTrue="1">
      <formula>NOT(AND(SUM($DY$124:$DY$125) &lt;= 3,AND(NOT($DY$124&lt;0),NOT($DY$125&lt;0)),NOT(AND($DY$124=0,$DY$125=3)),NOT(AND($DY$124=3,$DY$125=0))))</formula>
    </cfRule>
  </conditionalFormatting>
  <conditionalFormatting sqref="EC124:EC125">
    <cfRule type="cellIs" dxfId="756" priority="18919" stopIfTrue="1" operator="equal">
      <formula>2</formula>
    </cfRule>
  </conditionalFormatting>
  <conditionalFormatting sqref="EC124">
    <cfRule type="expression" dxfId="755" priority="18918" stopIfTrue="1">
      <formula>$EC$125=2</formula>
    </cfRule>
  </conditionalFormatting>
  <conditionalFormatting sqref="EC125">
    <cfRule type="expression" dxfId="754" priority="18917" stopIfTrue="1">
      <formula>$EC$124=2</formula>
    </cfRule>
  </conditionalFormatting>
  <conditionalFormatting sqref="EC124:EC125">
    <cfRule type="expression" dxfId="753" priority="18912" stopIfTrue="1">
      <formula>NOT(AND(SUM($EC$124:$EC$125) &lt;= 3,AND(NOT($EC$124&lt;0),NOT($EC$125&lt;0)),NOT(AND($EC$124=0,$EC$125=3)),NOT(AND($EC$124=3,$EC$125=0))))</formula>
    </cfRule>
  </conditionalFormatting>
  <conditionalFormatting sqref="EG124:EG125">
    <cfRule type="cellIs" dxfId="752" priority="18915" stopIfTrue="1" operator="equal">
      <formula>2</formula>
    </cfRule>
  </conditionalFormatting>
  <conditionalFormatting sqref="EG124">
    <cfRule type="expression" dxfId="751" priority="18914" stopIfTrue="1">
      <formula>$EG$125=2</formula>
    </cfRule>
  </conditionalFormatting>
  <conditionalFormatting sqref="EG125">
    <cfRule type="expression" dxfId="750" priority="18913" stopIfTrue="1">
      <formula>$EG$124=2</formula>
    </cfRule>
  </conditionalFormatting>
  <conditionalFormatting sqref="EG124:EG125">
    <cfRule type="expression" dxfId="749" priority="18908" stopIfTrue="1">
      <formula>NOT(AND(SUM($EG$124:$EG$125) &lt;= 3,AND(NOT($EG$124&lt;0),NOT($EG$125&lt;0)),NOT(AND($EG$124=0,$EG$125=3)),NOT(AND($EG$124=3,$EG$125=0))))</formula>
    </cfRule>
  </conditionalFormatting>
  <conditionalFormatting sqref="EK124:EK125">
    <cfRule type="cellIs" dxfId="748" priority="18911" stopIfTrue="1" operator="equal">
      <formula>2</formula>
    </cfRule>
  </conditionalFormatting>
  <conditionalFormatting sqref="EK124">
    <cfRule type="expression" dxfId="747" priority="18910" stopIfTrue="1">
      <formula>$EK$125=2</formula>
    </cfRule>
  </conditionalFormatting>
  <conditionalFormatting sqref="EK125">
    <cfRule type="expression" dxfId="746" priority="18909" stopIfTrue="1">
      <formula>$EK$124=2</formula>
    </cfRule>
  </conditionalFormatting>
  <conditionalFormatting sqref="EK124:EK125">
    <cfRule type="expression" dxfId="745" priority="18904" stopIfTrue="1">
      <formula>NOT(AND(SUM($EK$124:$EK$125) &lt;= 3,AND(NOT($EK$124&lt;0),NOT($EK$125&lt;0)),NOT(AND($EK$124=0,$EK$125=3)),NOT(AND($EK$124=3,$EK$125=0))))</formula>
    </cfRule>
  </conditionalFormatting>
  <conditionalFormatting sqref="EO124:EO125">
    <cfRule type="cellIs" dxfId="744" priority="18907" stopIfTrue="1" operator="equal">
      <formula>2</formula>
    </cfRule>
  </conditionalFormatting>
  <conditionalFormatting sqref="EO124">
    <cfRule type="expression" dxfId="743" priority="18906" stopIfTrue="1">
      <formula>$EO$125=2</formula>
    </cfRule>
  </conditionalFormatting>
  <conditionalFormatting sqref="EO125">
    <cfRule type="expression" dxfId="742" priority="18905" stopIfTrue="1">
      <formula>$EO$124=2</formula>
    </cfRule>
  </conditionalFormatting>
  <conditionalFormatting sqref="EO124:EO125">
    <cfRule type="expression" dxfId="741" priority="18900" stopIfTrue="1">
      <formula>NOT(AND(SUM($EO$124:$EO$125) &lt;= 3,AND(NOT($EO$124&lt;0),NOT($EO$125&lt;0)),NOT(AND($EO$124=0,$EO$125=3)),NOT(AND($EO$124=3,$EO$125=0))))</formula>
    </cfRule>
  </conditionalFormatting>
  <conditionalFormatting sqref="ES124:ES125">
    <cfRule type="cellIs" dxfId="740" priority="18903" stopIfTrue="1" operator="equal">
      <formula>2</formula>
    </cfRule>
  </conditionalFormatting>
  <conditionalFormatting sqref="ES124">
    <cfRule type="expression" dxfId="739" priority="18902" stopIfTrue="1">
      <formula>$ES$125=2</formula>
    </cfRule>
  </conditionalFormatting>
  <conditionalFormatting sqref="ES125">
    <cfRule type="expression" dxfId="738" priority="18901" stopIfTrue="1">
      <formula>$ES$124=2</formula>
    </cfRule>
  </conditionalFormatting>
  <conditionalFormatting sqref="ES124:ES125">
    <cfRule type="expression" dxfId="737" priority="18896" stopIfTrue="1">
      <formula>NOT(AND(SUM($ES$124:$ES$125) &lt;= 3,AND(NOT($ES$124&lt;0),NOT($ES$125&lt;0)),NOT(AND($ES$124=0,$ES$125=3)),NOT(AND($ES$124=3,$ES$125=0))))</formula>
    </cfRule>
  </conditionalFormatting>
  <conditionalFormatting sqref="EW124:EW125">
    <cfRule type="cellIs" dxfId="736" priority="18899" stopIfTrue="1" operator="equal">
      <formula>2</formula>
    </cfRule>
  </conditionalFormatting>
  <conditionalFormatting sqref="EW124">
    <cfRule type="expression" dxfId="735" priority="18898" stopIfTrue="1">
      <formula>$EW$125=2</formula>
    </cfRule>
  </conditionalFormatting>
  <conditionalFormatting sqref="EW125">
    <cfRule type="expression" dxfId="734" priority="18897" stopIfTrue="1">
      <formula>$EW$124=2</formula>
    </cfRule>
  </conditionalFormatting>
  <conditionalFormatting sqref="EW124:EW125">
    <cfRule type="expression" dxfId="733" priority="18892" stopIfTrue="1">
      <formula>NOT(AND(SUM($EW$124:$EW$125) &lt;= 3,AND(NOT($EW$124&lt;0),NOT($EW$125&lt;0)),NOT(AND($EW$124=0,$EW$125=3)),NOT(AND($EW$124=3,$EW$125=0))))</formula>
    </cfRule>
  </conditionalFormatting>
  <conditionalFormatting sqref="FA124:FA125">
    <cfRule type="cellIs" dxfId="732" priority="18895" stopIfTrue="1" operator="equal">
      <formula>2</formula>
    </cfRule>
  </conditionalFormatting>
  <conditionalFormatting sqref="FA124">
    <cfRule type="expression" dxfId="731" priority="18894" stopIfTrue="1">
      <formula>$FA$125=2</formula>
    </cfRule>
  </conditionalFormatting>
  <conditionalFormatting sqref="FA125">
    <cfRule type="expression" dxfId="730" priority="18893" stopIfTrue="1">
      <formula>$FA$124=2</formula>
    </cfRule>
  </conditionalFormatting>
  <conditionalFormatting sqref="FA124:FA125">
    <cfRule type="expression" dxfId="729" priority="18888" stopIfTrue="1">
      <formula>NOT(AND(SUM($FA$124:$FA$125) &lt;= 3,AND(NOT($FA$124&lt;0),NOT($FA$125&lt;0)),NOT(AND($FA$124=0,$FA$125=3)),NOT(AND($FA$124=3,$FA$125=0))))</formula>
    </cfRule>
  </conditionalFormatting>
  <conditionalFormatting sqref="FE124:FE125">
    <cfRule type="cellIs" dxfId="728" priority="18891" stopIfTrue="1" operator="equal">
      <formula>2</formula>
    </cfRule>
  </conditionalFormatting>
  <conditionalFormatting sqref="FE124">
    <cfRule type="expression" dxfId="727" priority="18890" stopIfTrue="1">
      <formula>$FE$125=2</formula>
    </cfRule>
  </conditionalFormatting>
  <conditionalFormatting sqref="FE125">
    <cfRule type="expression" dxfId="726" priority="18889" stopIfTrue="1">
      <formula>$FE$124=2</formula>
    </cfRule>
  </conditionalFormatting>
  <conditionalFormatting sqref="FE124:FE125">
    <cfRule type="expression" dxfId="725" priority="18884" stopIfTrue="1">
      <formula>NOT(AND(SUM($FE$124:$FE$125) &lt;= 3,AND(NOT($FE$124&lt;0),NOT($FE$125&lt;0)),NOT(AND($FE$124=0,$FE$125=3)),NOT(AND($FE$124=3,$FE$125=0))))</formula>
    </cfRule>
  </conditionalFormatting>
  <conditionalFormatting sqref="FI124:FI125">
    <cfRule type="cellIs" dxfId="724" priority="18887" stopIfTrue="1" operator="equal">
      <formula>2</formula>
    </cfRule>
  </conditionalFormatting>
  <conditionalFormatting sqref="FI124">
    <cfRule type="expression" dxfId="723" priority="18886" stopIfTrue="1">
      <formula>$FI$125=2</formula>
    </cfRule>
  </conditionalFormatting>
  <conditionalFormatting sqref="FI125">
    <cfRule type="expression" dxfId="722" priority="18885" stopIfTrue="1">
      <formula>$FI$124=2</formula>
    </cfRule>
  </conditionalFormatting>
  <conditionalFormatting sqref="FI124:FI125">
    <cfRule type="expression" dxfId="721" priority="18880" stopIfTrue="1">
      <formula>NOT(AND(SUM($FI$124:$FI$125) &lt;= 3,AND(NOT($FI$124&lt;0),NOT($FI$125&lt;0)),NOT(AND($FI$124=0,$FI$125=3)),NOT(AND($FI$124=3,$FI$125=0))))</formula>
    </cfRule>
  </conditionalFormatting>
  <conditionalFormatting sqref="FM124:FM125">
    <cfRule type="cellIs" dxfId="720" priority="18883" stopIfTrue="1" operator="equal">
      <formula>2</formula>
    </cfRule>
  </conditionalFormatting>
  <conditionalFormatting sqref="FM124">
    <cfRule type="expression" dxfId="719" priority="18882" stopIfTrue="1">
      <formula>$FM$125=2</formula>
    </cfRule>
  </conditionalFormatting>
  <conditionalFormatting sqref="FM125">
    <cfRule type="expression" dxfId="718" priority="18881" stopIfTrue="1">
      <formula>$FM$124=2</formula>
    </cfRule>
  </conditionalFormatting>
  <conditionalFormatting sqref="FM124:FM125">
    <cfRule type="expression" dxfId="717" priority="18876" stopIfTrue="1">
      <formula>NOT(AND(SUM($FM$124:$FM$125) &lt;= 3,AND(NOT($FM$124&lt;0),NOT($FM$125&lt;0)),NOT(AND($FM$124=0,$FM$125=3)),NOT(AND($FM$124=3,$FM$125=0))))</formula>
    </cfRule>
  </conditionalFormatting>
  <conditionalFormatting sqref="DY128:DY129">
    <cfRule type="cellIs" dxfId="716" priority="18843" stopIfTrue="1" operator="equal">
      <formula>2</formula>
    </cfRule>
  </conditionalFormatting>
  <conditionalFormatting sqref="DY128">
    <cfRule type="expression" dxfId="715" priority="18842" stopIfTrue="1">
      <formula>$DY$129=2</formula>
    </cfRule>
  </conditionalFormatting>
  <conditionalFormatting sqref="DY129">
    <cfRule type="expression" dxfId="714" priority="18841" stopIfTrue="1">
      <formula>$DY$128=2</formula>
    </cfRule>
  </conditionalFormatting>
  <conditionalFormatting sqref="DY128:DY129">
    <cfRule type="expression" dxfId="713" priority="18836" stopIfTrue="1">
      <formula>NOT(AND(SUM($DY$128:$DY$129) &lt;= 3,AND(NOT($DY$128&lt;0),NOT($DY$129&lt;0)),NOT(AND($DY$128=0,$DY$129=3)),NOT(AND($DY$128=3,$DY$129=0))))</formula>
    </cfRule>
  </conditionalFormatting>
  <conditionalFormatting sqref="EC128:EC129">
    <cfRule type="cellIs" dxfId="712" priority="18839" stopIfTrue="1" operator="equal">
      <formula>2</formula>
    </cfRule>
  </conditionalFormatting>
  <conditionalFormatting sqref="EC128">
    <cfRule type="expression" dxfId="711" priority="18838" stopIfTrue="1">
      <formula>$EC$129=2</formula>
    </cfRule>
  </conditionalFormatting>
  <conditionalFormatting sqref="EC129">
    <cfRule type="expression" dxfId="710" priority="18837" stopIfTrue="1">
      <formula>$EC$128=2</formula>
    </cfRule>
  </conditionalFormatting>
  <conditionalFormatting sqref="EC128:EC129">
    <cfRule type="expression" dxfId="709" priority="18832" stopIfTrue="1">
      <formula>NOT(AND(SUM($EC$128:$EC$129) &lt;= 3,AND(NOT($EC$128&lt;0),NOT($EC$129&lt;0)),NOT(AND($EC$128=0,$EC$129=3)),NOT(AND($EC$128=3,$EC$129=0))))</formula>
    </cfRule>
  </conditionalFormatting>
  <conditionalFormatting sqref="EG128:EG129">
    <cfRule type="cellIs" dxfId="708" priority="18835" stopIfTrue="1" operator="equal">
      <formula>2</formula>
    </cfRule>
  </conditionalFormatting>
  <conditionalFormatting sqref="EG128">
    <cfRule type="expression" dxfId="707" priority="18834" stopIfTrue="1">
      <formula>$EG$129=2</formula>
    </cfRule>
  </conditionalFormatting>
  <conditionalFormatting sqref="EG129">
    <cfRule type="expression" dxfId="706" priority="18833" stopIfTrue="1">
      <formula>$EG$128=2</formula>
    </cfRule>
  </conditionalFormatting>
  <conditionalFormatting sqref="EG128:EG129">
    <cfRule type="expression" dxfId="705" priority="18828" stopIfTrue="1">
      <formula>NOT(AND(SUM($EG$128:$EG$129) &lt;= 3,AND(NOT($EG$128&lt;0),NOT($EG$129&lt;0)),NOT(AND($EG$128=0,$EG$129=3)),NOT(AND($EG$128=3,$EG$129=0))))</formula>
    </cfRule>
  </conditionalFormatting>
  <conditionalFormatting sqref="EK128:EK129">
    <cfRule type="cellIs" dxfId="704" priority="18831" stopIfTrue="1" operator="equal">
      <formula>2</formula>
    </cfRule>
  </conditionalFormatting>
  <conditionalFormatting sqref="EK128">
    <cfRule type="expression" dxfId="703" priority="18830" stopIfTrue="1">
      <formula>$EK$129=2</formula>
    </cfRule>
  </conditionalFormatting>
  <conditionalFormatting sqref="EK129">
    <cfRule type="expression" dxfId="702" priority="18829" stopIfTrue="1">
      <formula>$EK$128=2</formula>
    </cfRule>
  </conditionalFormatting>
  <conditionalFormatting sqref="EK128:EK129">
    <cfRule type="expression" dxfId="701" priority="18824" stopIfTrue="1">
      <formula>NOT(AND(SUM($EK$128:$EK$129) &lt;= 3,AND(NOT($EK$128&lt;0),NOT($EK$129&lt;0)),NOT(AND($EK$128=0,$EK$129=3)),NOT(AND($EK$128=3,$EK$129=0))))</formula>
    </cfRule>
  </conditionalFormatting>
  <conditionalFormatting sqref="EO128:EO129">
    <cfRule type="cellIs" dxfId="700" priority="18827" stopIfTrue="1" operator="equal">
      <formula>2</formula>
    </cfRule>
  </conditionalFormatting>
  <conditionalFormatting sqref="EO128">
    <cfRule type="expression" dxfId="699" priority="18826" stopIfTrue="1">
      <formula>$EO$129=2</formula>
    </cfRule>
  </conditionalFormatting>
  <conditionalFormatting sqref="EO129">
    <cfRule type="expression" dxfId="698" priority="18825" stopIfTrue="1">
      <formula>$EO$128=2</formula>
    </cfRule>
  </conditionalFormatting>
  <conditionalFormatting sqref="EO128:EO129">
    <cfRule type="expression" dxfId="697" priority="18820" stopIfTrue="1">
      <formula>NOT(AND(SUM($EO$128:$EO$129) &lt;= 3,AND(NOT($EO$128&lt;0),NOT($EO$129&lt;0)),NOT(AND($EO$128=0,$EO$129=3)),NOT(AND($EO$128=3,$EO$129=0))))</formula>
    </cfRule>
  </conditionalFormatting>
  <conditionalFormatting sqref="ES128:ES129">
    <cfRule type="cellIs" dxfId="696" priority="18823" stopIfTrue="1" operator="equal">
      <formula>2</formula>
    </cfRule>
  </conditionalFormatting>
  <conditionalFormatting sqref="ES128">
    <cfRule type="expression" dxfId="695" priority="18822" stopIfTrue="1">
      <formula>$ES$129=2</formula>
    </cfRule>
  </conditionalFormatting>
  <conditionalFormatting sqref="ES129">
    <cfRule type="expression" dxfId="694" priority="18821" stopIfTrue="1">
      <formula>$ES$128=2</formula>
    </cfRule>
  </conditionalFormatting>
  <conditionalFormatting sqref="ES128:ES129">
    <cfRule type="expression" dxfId="693" priority="18816" stopIfTrue="1">
      <formula>NOT(AND(SUM($ES$128:$ES$129) &lt;= 3,AND(NOT($ES$128&lt;0),NOT($ES$129&lt;0)),NOT(AND($ES$128=0,$ES$129=3)),NOT(AND($ES$128=3,$ES$129=0))))</formula>
    </cfRule>
  </conditionalFormatting>
  <conditionalFormatting sqref="EW128:EW129">
    <cfRule type="cellIs" dxfId="692" priority="18819" stopIfTrue="1" operator="equal">
      <formula>2</formula>
    </cfRule>
  </conditionalFormatting>
  <conditionalFormatting sqref="EW128">
    <cfRule type="expression" dxfId="691" priority="18818" stopIfTrue="1">
      <formula>$EW$129=2</formula>
    </cfRule>
  </conditionalFormatting>
  <conditionalFormatting sqref="EW129">
    <cfRule type="expression" dxfId="690" priority="18817" stopIfTrue="1">
      <formula>$EW$128=2</formula>
    </cfRule>
  </conditionalFormatting>
  <conditionalFormatting sqref="EW128:EW129">
    <cfRule type="expression" dxfId="689" priority="18812" stopIfTrue="1">
      <formula>NOT(AND(SUM($EW$128:$EW$129) &lt;= 3,AND(NOT($EW$128&lt;0),NOT($EW$129&lt;0)),NOT(AND($EW$128=0,$EW$129=3)),NOT(AND($EW$128=3,$EW$129=0))))</formula>
    </cfRule>
  </conditionalFormatting>
  <conditionalFormatting sqref="FA128:FA129">
    <cfRule type="cellIs" dxfId="688" priority="18815" stopIfTrue="1" operator="equal">
      <formula>2</formula>
    </cfRule>
  </conditionalFormatting>
  <conditionalFormatting sqref="FA128">
    <cfRule type="expression" dxfId="687" priority="18814" stopIfTrue="1">
      <formula>$FA$129=2</formula>
    </cfRule>
  </conditionalFormatting>
  <conditionalFormatting sqref="FA129">
    <cfRule type="expression" dxfId="686" priority="18813" stopIfTrue="1">
      <formula>$FA$128=2</formula>
    </cfRule>
  </conditionalFormatting>
  <conditionalFormatting sqref="FA128:FA129">
    <cfRule type="expression" dxfId="685" priority="18808" stopIfTrue="1">
      <formula>NOT(AND(SUM($FA$128:$FA$129) &lt;= 3,AND(NOT($FA$128&lt;0),NOT($FA$129&lt;0)),NOT(AND($FA$128=0,$FA$129=3)),NOT(AND($FA$128=3,$FA$129=0))))</formula>
    </cfRule>
  </conditionalFormatting>
  <conditionalFormatting sqref="FE128:FE129">
    <cfRule type="cellIs" dxfId="684" priority="18811" stopIfTrue="1" operator="equal">
      <formula>2</formula>
    </cfRule>
  </conditionalFormatting>
  <conditionalFormatting sqref="FE128">
    <cfRule type="expression" dxfId="683" priority="18810" stopIfTrue="1">
      <formula>$FE$129=2</formula>
    </cfRule>
  </conditionalFormatting>
  <conditionalFormatting sqref="FE129">
    <cfRule type="expression" dxfId="682" priority="18809" stopIfTrue="1">
      <formula>$FE$128=2</formula>
    </cfRule>
  </conditionalFormatting>
  <conditionalFormatting sqref="FE128:FE129">
    <cfRule type="expression" dxfId="681" priority="18804" stopIfTrue="1">
      <formula>NOT(AND(SUM($FE$128:$FE$129) &lt;= 3,AND(NOT($FE$128&lt;0),NOT($FE$129&lt;0)),NOT(AND($FE$128=0,$FE$129=3)),NOT(AND($FE$128=3,$FE$129=0))))</formula>
    </cfRule>
  </conditionalFormatting>
  <conditionalFormatting sqref="FI128:FI129">
    <cfRule type="cellIs" dxfId="680" priority="18807" stopIfTrue="1" operator="equal">
      <formula>2</formula>
    </cfRule>
  </conditionalFormatting>
  <conditionalFormatting sqref="FI128">
    <cfRule type="expression" dxfId="679" priority="18806" stopIfTrue="1">
      <formula>$FI$129=2</formula>
    </cfRule>
  </conditionalFormatting>
  <conditionalFormatting sqref="FI129">
    <cfRule type="expression" dxfId="678" priority="18805" stopIfTrue="1">
      <formula>$FI$128=2</formula>
    </cfRule>
  </conditionalFormatting>
  <conditionalFormatting sqref="FI128:FI129">
    <cfRule type="expression" dxfId="677" priority="18800" stopIfTrue="1">
      <formula>NOT(AND(SUM($FI$128:$FI$129) &lt;= 3,AND(NOT($FI$128&lt;0),NOT($FI$129&lt;0)),NOT(AND($FI$128=0,$FI$129=3)),NOT(AND($FI$128=3,$FI$129=0))))</formula>
    </cfRule>
  </conditionalFormatting>
  <conditionalFormatting sqref="FM128:FM129">
    <cfRule type="cellIs" dxfId="676" priority="18803" stopIfTrue="1" operator="equal">
      <formula>2</formula>
    </cfRule>
  </conditionalFormatting>
  <conditionalFormatting sqref="FM128">
    <cfRule type="expression" dxfId="675" priority="18802" stopIfTrue="1">
      <formula>$FM$129=2</formula>
    </cfRule>
  </conditionalFormatting>
  <conditionalFormatting sqref="FM129">
    <cfRule type="expression" dxfId="674" priority="18801" stopIfTrue="1">
      <formula>$FM$128=2</formula>
    </cfRule>
  </conditionalFormatting>
  <conditionalFormatting sqref="FM128:FM129">
    <cfRule type="expression" dxfId="673" priority="18796" stopIfTrue="1">
      <formula>NOT(AND(SUM($FM$128:$FM$129) &lt;= 3,AND(NOT($FM$128&lt;0),NOT($FM$129&lt;0)),NOT(AND($FM$128=0,$FM$129=3)),NOT(AND($FM$128=3,$FM$129=0))))</formula>
    </cfRule>
  </conditionalFormatting>
  <conditionalFormatting sqref="CO132:CO133">
    <cfRule type="cellIs" dxfId="672" priority="18799" stopIfTrue="1" operator="equal">
      <formula>2</formula>
    </cfRule>
  </conditionalFormatting>
  <conditionalFormatting sqref="CO132">
    <cfRule type="expression" dxfId="671" priority="18798" stopIfTrue="1">
      <formula>$CO$133=2</formula>
    </cfRule>
  </conditionalFormatting>
  <conditionalFormatting sqref="CO133">
    <cfRule type="expression" dxfId="670" priority="18797" stopIfTrue="1">
      <formula>$CO$132=2</formula>
    </cfRule>
  </conditionalFormatting>
  <conditionalFormatting sqref="CO132:CO133">
    <cfRule type="expression" dxfId="669" priority="18792" stopIfTrue="1">
      <formula>NOT(AND(SUM($CO$132:$CO$133) &lt;= 3,AND(NOT($CO$132&lt;0),NOT($CO$133&lt;0)),NOT(AND($CO$132=0,$CO$133=3)),NOT(AND($CO$132=3,$CO$133=0))))</formula>
    </cfRule>
  </conditionalFormatting>
  <conditionalFormatting sqref="CS132:CS133">
    <cfRule type="cellIs" dxfId="668" priority="18795" stopIfTrue="1" operator="equal">
      <formula>2</formula>
    </cfRule>
  </conditionalFormatting>
  <conditionalFormatting sqref="CS132">
    <cfRule type="expression" dxfId="667" priority="18794" stopIfTrue="1">
      <formula>$CS$133=2</formula>
    </cfRule>
  </conditionalFormatting>
  <conditionalFormatting sqref="CS133">
    <cfRule type="expression" dxfId="666" priority="18793" stopIfTrue="1">
      <formula>$CS$132=2</formula>
    </cfRule>
  </conditionalFormatting>
  <conditionalFormatting sqref="CS132:CS133">
    <cfRule type="expression" dxfId="665" priority="18788" stopIfTrue="1">
      <formula>NOT(AND(SUM($CS$132:$CS$133) &lt;= 3,AND(NOT($CS$132&lt;0),NOT($CS$133&lt;0)),NOT(AND($CS$132=0,$CS$133=3)),NOT(AND($CS$132=3,$CS$133=0))))</formula>
    </cfRule>
  </conditionalFormatting>
  <conditionalFormatting sqref="CW132:CW133">
    <cfRule type="cellIs" dxfId="664" priority="18791" stopIfTrue="1" operator="equal">
      <formula>2</formula>
    </cfRule>
  </conditionalFormatting>
  <conditionalFormatting sqref="CW132">
    <cfRule type="expression" dxfId="663" priority="18790" stopIfTrue="1">
      <formula>$CW$133=2</formula>
    </cfRule>
  </conditionalFormatting>
  <conditionalFormatting sqref="CW133">
    <cfRule type="expression" dxfId="662" priority="18789" stopIfTrue="1">
      <formula>$CW$132=2</formula>
    </cfRule>
  </conditionalFormatting>
  <conditionalFormatting sqref="CW132:CW133">
    <cfRule type="expression" dxfId="661" priority="18784" stopIfTrue="1">
      <formula>NOT(AND(SUM($CW$132:$CW$133) &lt;= 3,AND(NOT($CW$132&lt;0),NOT($CW$133&lt;0)),NOT(AND($CW$132=0,$CW$133=3)),NOT(AND($CW$132=3,$CW$133=0))))</formula>
    </cfRule>
  </conditionalFormatting>
  <conditionalFormatting sqref="DA132:DA133">
    <cfRule type="cellIs" dxfId="660" priority="18787" stopIfTrue="1" operator="equal">
      <formula>2</formula>
    </cfRule>
  </conditionalFormatting>
  <conditionalFormatting sqref="DA132">
    <cfRule type="expression" dxfId="659" priority="18786" stopIfTrue="1">
      <formula>$DA$133=2</formula>
    </cfRule>
  </conditionalFormatting>
  <conditionalFormatting sqref="DA133">
    <cfRule type="expression" dxfId="658" priority="18785" stopIfTrue="1">
      <formula>$DA$132=2</formula>
    </cfRule>
  </conditionalFormatting>
  <conditionalFormatting sqref="DA132:DA133">
    <cfRule type="expression" dxfId="657" priority="18780" stopIfTrue="1">
      <formula>NOT(AND(SUM($DA$132:$DA$133) &lt;= 3,AND(NOT($DA$132&lt;0),NOT($DA$133&lt;0)),NOT(AND($DA$132=0,$DA$133=3)),NOT(AND($DA$132=3,$DA$133=0))))</formula>
    </cfRule>
  </conditionalFormatting>
  <conditionalFormatting sqref="DE132:DE133">
    <cfRule type="cellIs" dxfId="656" priority="18783" stopIfTrue="1" operator="equal">
      <formula>2</formula>
    </cfRule>
  </conditionalFormatting>
  <conditionalFormatting sqref="DE132">
    <cfRule type="expression" dxfId="655" priority="18782" stopIfTrue="1">
      <formula>$DE$133=2</formula>
    </cfRule>
  </conditionalFormatting>
  <conditionalFormatting sqref="DE133">
    <cfRule type="expression" dxfId="654" priority="18781" stopIfTrue="1">
      <formula>$DE$132=2</formula>
    </cfRule>
  </conditionalFormatting>
  <conditionalFormatting sqref="DE132:DE133">
    <cfRule type="expression" dxfId="653" priority="18776" stopIfTrue="1">
      <formula>NOT(AND(SUM($DE$132:$DE$133) &lt;= 3,AND(NOT($DE$132&lt;0),NOT($DE$133&lt;0)),NOT(AND($DE$132=0,$DE$133=3)),NOT(AND($DE$132=3,$DE$133=0))))</formula>
    </cfRule>
  </conditionalFormatting>
  <conditionalFormatting sqref="DI132:DI133">
    <cfRule type="cellIs" dxfId="652" priority="18779" stopIfTrue="1" operator="equal">
      <formula>2</formula>
    </cfRule>
  </conditionalFormatting>
  <conditionalFormatting sqref="DI132">
    <cfRule type="expression" dxfId="651" priority="18778" stopIfTrue="1">
      <formula>$DI$133=2</formula>
    </cfRule>
  </conditionalFormatting>
  <conditionalFormatting sqref="DI133">
    <cfRule type="expression" dxfId="650" priority="18777" stopIfTrue="1">
      <formula>$DI$132=2</formula>
    </cfRule>
  </conditionalFormatting>
  <conditionalFormatting sqref="DI132:DI133">
    <cfRule type="expression" dxfId="649" priority="18772" stopIfTrue="1">
      <formula>NOT(AND(SUM($DI$132:$DI$133) &lt;= 3,AND(NOT($DI$132&lt;0),NOT($DI$133&lt;0)),NOT(AND($DI$132=0,$DI$133=3)),NOT(AND($DI$132=3,$DI$133=0))))</formula>
    </cfRule>
  </conditionalFormatting>
  <conditionalFormatting sqref="DM132:DM133">
    <cfRule type="cellIs" dxfId="648" priority="18775" stopIfTrue="1" operator="equal">
      <formula>2</formula>
    </cfRule>
  </conditionalFormatting>
  <conditionalFormatting sqref="DM132">
    <cfRule type="expression" dxfId="647" priority="18774" stopIfTrue="1">
      <formula>$DM$133=2</formula>
    </cfRule>
  </conditionalFormatting>
  <conditionalFormatting sqref="DM133">
    <cfRule type="expression" dxfId="646" priority="18773" stopIfTrue="1">
      <formula>$DM$132=2</formula>
    </cfRule>
  </conditionalFormatting>
  <conditionalFormatting sqref="DM132:DM133">
    <cfRule type="expression" dxfId="645" priority="18768" stopIfTrue="1">
      <formula>NOT(AND(SUM($DM$132:$DM$133) &lt;= 3,AND(NOT($DM$132&lt;0),NOT($DM$133&lt;0)),NOT(AND($DM$132=0,$DM$133=3)),NOT(AND($DM$132=3,$DM$133=0))))</formula>
    </cfRule>
  </conditionalFormatting>
  <conditionalFormatting sqref="DQ132:DQ133">
    <cfRule type="cellIs" dxfId="644" priority="18771" stopIfTrue="1" operator="equal">
      <formula>2</formula>
    </cfRule>
  </conditionalFormatting>
  <conditionalFormatting sqref="DQ132">
    <cfRule type="expression" dxfId="643" priority="18770" stopIfTrue="1">
      <formula>$DQ$133=2</formula>
    </cfRule>
  </conditionalFormatting>
  <conditionalFormatting sqref="DQ133">
    <cfRule type="expression" dxfId="642" priority="18769" stopIfTrue="1">
      <formula>$DQ$132=2</formula>
    </cfRule>
  </conditionalFormatting>
  <conditionalFormatting sqref="DQ132:DQ133">
    <cfRule type="expression" dxfId="641" priority="18764" stopIfTrue="1">
      <formula>NOT(AND(SUM($DQ$132:$DQ$133) &lt;= 3,AND(NOT($DQ$132&lt;0),NOT($DQ$133&lt;0)),NOT(AND($DQ$132=0,$DQ$133=3)),NOT(AND($DQ$132=3,$DQ$133=0))))</formula>
    </cfRule>
  </conditionalFormatting>
  <conditionalFormatting sqref="DU132:DU133">
    <cfRule type="cellIs" dxfId="640" priority="18767" stopIfTrue="1" operator="equal">
      <formula>2</formula>
    </cfRule>
  </conditionalFormatting>
  <conditionalFormatting sqref="DU132">
    <cfRule type="expression" dxfId="639" priority="18766" stopIfTrue="1">
      <formula>$DU$133=2</formula>
    </cfRule>
  </conditionalFormatting>
  <conditionalFormatting sqref="DU133">
    <cfRule type="expression" dxfId="638" priority="18765" stopIfTrue="1">
      <formula>$DU$132=2</formula>
    </cfRule>
  </conditionalFormatting>
  <conditionalFormatting sqref="DU132:DU133">
    <cfRule type="expression" dxfId="637" priority="18760" stopIfTrue="1">
      <formula>NOT(AND(SUM($DU$132:$DU$133) &lt;= 3,AND(NOT($DU$132&lt;0),NOT($DU$133&lt;0)),NOT(AND($DU$132=0,$DU$133=3)),NOT(AND($DU$132=3,$DU$133=0))))</formula>
    </cfRule>
  </conditionalFormatting>
  <conditionalFormatting sqref="DY132:DY133">
    <cfRule type="cellIs" dxfId="636" priority="18763" stopIfTrue="1" operator="equal">
      <formula>2</formula>
    </cfRule>
  </conditionalFormatting>
  <conditionalFormatting sqref="DY132">
    <cfRule type="expression" dxfId="635" priority="18762" stopIfTrue="1">
      <formula>$DY$133=2</formula>
    </cfRule>
  </conditionalFormatting>
  <conditionalFormatting sqref="DY133">
    <cfRule type="expression" dxfId="634" priority="18761" stopIfTrue="1">
      <formula>$DY$132=2</formula>
    </cfRule>
  </conditionalFormatting>
  <conditionalFormatting sqref="DY132:DY133">
    <cfRule type="expression" dxfId="633" priority="18756" stopIfTrue="1">
      <formula>NOT(AND(SUM($DY$132:$DY$133) &lt;= 3,AND(NOT($DY$132&lt;0),NOT($DY$133&lt;0)),NOT(AND($DY$132=0,$DY$133=3)),NOT(AND($DY$132=3,$DY$133=0))))</formula>
    </cfRule>
  </conditionalFormatting>
  <conditionalFormatting sqref="EC132:EC133">
    <cfRule type="cellIs" dxfId="632" priority="18759" stopIfTrue="1" operator="equal">
      <formula>2</formula>
    </cfRule>
  </conditionalFormatting>
  <conditionalFormatting sqref="EC132">
    <cfRule type="expression" dxfId="631" priority="18758" stopIfTrue="1">
      <formula>$EC$133=2</formula>
    </cfRule>
  </conditionalFormatting>
  <conditionalFormatting sqref="EC133">
    <cfRule type="expression" dxfId="630" priority="18757" stopIfTrue="1">
      <formula>$EC$132=2</formula>
    </cfRule>
  </conditionalFormatting>
  <conditionalFormatting sqref="EC132:EC133">
    <cfRule type="expression" dxfId="629" priority="18752" stopIfTrue="1">
      <formula>NOT(AND(SUM($EC$132:$EC$133) &lt;= 3,AND(NOT($EC$132&lt;0),NOT($EC$133&lt;0)),NOT(AND($EC$132=0,$EC$133=3)),NOT(AND($EC$132=3,$EC$133=0))))</formula>
    </cfRule>
  </conditionalFormatting>
  <conditionalFormatting sqref="EG132:EG133">
    <cfRule type="cellIs" dxfId="628" priority="18755" stopIfTrue="1" operator="equal">
      <formula>2</formula>
    </cfRule>
  </conditionalFormatting>
  <conditionalFormatting sqref="EG132">
    <cfRule type="expression" dxfId="627" priority="18754" stopIfTrue="1">
      <formula>$EG$133=2</formula>
    </cfRule>
  </conditionalFormatting>
  <conditionalFormatting sqref="EG133">
    <cfRule type="expression" dxfId="626" priority="18753" stopIfTrue="1">
      <formula>$EG$132=2</formula>
    </cfRule>
  </conditionalFormatting>
  <conditionalFormatting sqref="EG132:EG133">
    <cfRule type="expression" dxfId="625" priority="18748" stopIfTrue="1">
      <formula>NOT(AND(SUM($EG$132:$EG$133) &lt;= 3,AND(NOT($EG$132&lt;0),NOT($EG$133&lt;0)),NOT(AND($EG$132=0,$EG$133=3)),NOT(AND($EG$132=3,$EG$133=0))))</formula>
    </cfRule>
  </conditionalFormatting>
  <conditionalFormatting sqref="EK132:EK133">
    <cfRule type="cellIs" dxfId="624" priority="18751" stopIfTrue="1" operator="equal">
      <formula>2</formula>
    </cfRule>
  </conditionalFormatting>
  <conditionalFormatting sqref="EK132">
    <cfRule type="expression" dxfId="623" priority="18750" stopIfTrue="1">
      <formula>$EK$133=2</formula>
    </cfRule>
  </conditionalFormatting>
  <conditionalFormatting sqref="EK133">
    <cfRule type="expression" dxfId="622" priority="18749" stopIfTrue="1">
      <formula>$EK$132=2</formula>
    </cfRule>
  </conditionalFormatting>
  <conditionalFormatting sqref="EK132:EK133">
    <cfRule type="expression" dxfId="621" priority="18744" stopIfTrue="1">
      <formula>NOT(AND(SUM($EK$132:$EK$133) &lt;= 3,AND(NOT($EK$132&lt;0),NOT($EK$133&lt;0)),NOT(AND($EK$132=0,$EK$133=3)),NOT(AND($EK$132=3,$EK$133=0))))</formula>
    </cfRule>
  </conditionalFormatting>
  <conditionalFormatting sqref="EO132:EO133">
    <cfRule type="cellIs" dxfId="620" priority="18747" stopIfTrue="1" operator="equal">
      <formula>2</formula>
    </cfRule>
  </conditionalFormatting>
  <conditionalFormatting sqref="EO132">
    <cfRule type="expression" dxfId="619" priority="18746" stopIfTrue="1">
      <formula>$EO$133=2</formula>
    </cfRule>
  </conditionalFormatting>
  <conditionalFormatting sqref="EO133">
    <cfRule type="expression" dxfId="618" priority="18745" stopIfTrue="1">
      <formula>$EO$132=2</formula>
    </cfRule>
  </conditionalFormatting>
  <conditionalFormatting sqref="EO132:EO133">
    <cfRule type="expression" dxfId="617" priority="18740" stopIfTrue="1">
      <formula>NOT(AND(SUM($EO$132:$EO$133) &lt;= 3,AND(NOT($EO$132&lt;0),NOT($EO$133&lt;0)),NOT(AND($EO$132=0,$EO$133=3)),NOT(AND($EO$132=3,$EO$133=0))))</formula>
    </cfRule>
  </conditionalFormatting>
  <conditionalFormatting sqref="ES132:ES133">
    <cfRule type="cellIs" dxfId="616" priority="18743" stopIfTrue="1" operator="equal">
      <formula>2</formula>
    </cfRule>
  </conditionalFormatting>
  <conditionalFormatting sqref="ES132">
    <cfRule type="expression" dxfId="615" priority="18742" stopIfTrue="1">
      <formula>$ES$133=2</formula>
    </cfRule>
  </conditionalFormatting>
  <conditionalFormatting sqref="ES133">
    <cfRule type="expression" dxfId="614" priority="18741" stopIfTrue="1">
      <formula>$ES$132=2</formula>
    </cfRule>
  </conditionalFormatting>
  <conditionalFormatting sqref="ES132:ES133">
    <cfRule type="expression" dxfId="613" priority="18736" stopIfTrue="1">
      <formula>NOT(AND(SUM($ES$132:$ES$133) &lt;= 3,AND(NOT($ES$132&lt;0),NOT($ES$133&lt;0)),NOT(AND($ES$132=0,$ES$133=3)),NOT(AND($ES$132=3,$ES$133=0))))</formula>
    </cfRule>
  </conditionalFormatting>
  <conditionalFormatting sqref="EW132:EW133">
    <cfRule type="cellIs" dxfId="612" priority="18739" stopIfTrue="1" operator="equal">
      <formula>2</formula>
    </cfRule>
  </conditionalFormatting>
  <conditionalFormatting sqref="EW132">
    <cfRule type="expression" dxfId="611" priority="18738" stopIfTrue="1">
      <formula>$EW$133=2</formula>
    </cfRule>
  </conditionalFormatting>
  <conditionalFormatting sqref="EW133">
    <cfRule type="expression" dxfId="610" priority="18737" stopIfTrue="1">
      <formula>$EW$132=2</formula>
    </cfRule>
  </conditionalFormatting>
  <conditionalFormatting sqref="EW132:EW133">
    <cfRule type="expression" dxfId="609" priority="18732" stopIfTrue="1">
      <formula>NOT(AND(SUM($EW$132:$EW$133) &lt;= 3,AND(NOT($EW$132&lt;0),NOT($EW$133&lt;0)),NOT(AND($EW$132=0,$EW$133=3)),NOT(AND($EW$132=3,$EW$133=0))))</formula>
    </cfRule>
  </conditionalFormatting>
  <conditionalFormatting sqref="FA132:FA133">
    <cfRule type="cellIs" dxfId="608" priority="18735" stopIfTrue="1" operator="equal">
      <formula>2</formula>
    </cfRule>
  </conditionalFormatting>
  <conditionalFormatting sqref="FA132">
    <cfRule type="expression" dxfId="607" priority="18734" stopIfTrue="1">
      <formula>$FA$133=2</formula>
    </cfRule>
  </conditionalFormatting>
  <conditionalFormatting sqref="FA133">
    <cfRule type="expression" dxfId="606" priority="18733" stopIfTrue="1">
      <formula>$FA$132=2</formula>
    </cfRule>
  </conditionalFormatting>
  <conditionalFormatting sqref="FA132:FA133">
    <cfRule type="expression" dxfId="605" priority="18728" stopIfTrue="1">
      <formula>NOT(AND(SUM($FA$132:$FA$133) &lt;= 3,AND(NOT($FA$132&lt;0),NOT($FA$133&lt;0)),NOT(AND($FA$132=0,$FA$133=3)),NOT(AND($FA$132=3,$FA$133=0))))</formula>
    </cfRule>
  </conditionalFormatting>
  <conditionalFormatting sqref="FE132:FE133">
    <cfRule type="cellIs" dxfId="604" priority="18731" stopIfTrue="1" operator="equal">
      <formula>2</formula>
    </cfRule>
  </conditionalFormatting>
  <conditionalFormatting sqref="FE132">
    <cfRule type="expression" dxfId="603" priority="18730" stopIfTrue="1">
      <formula>$FE$133=2</formula>
    </cfRule>
  </conditionalFormatting>
  <conditionalFormatting sqref="FE133">
    <cfRule type="expression" dxfId="602" priority="18729" stopIfTrue="1">
      <formula>$FE$132=2</formula>
    </cfRule>
  </conditionalFormatting>
  <conditionalFormatting sqref="FE132:FE133">
    <cfRule type="expression" dxfId="601" priority="18724" stopIfTrue="1">
      <formula>NOT(AND(SUM($FE$132:$FE$133) &lt;= 3,AND(NOT($FE$132&lt;0),NOT($FE$133&lt;0)),NOT(AND($FE$132=0,$FE$133=3)),NOT(AND($FE$132=3,$FE$133=0))))</formula>
    </cfRule>
  </conditionalFormatting>
  <conditionalFormatting sqref="FI132:FI133">
    <cfRule type="cellIs" dxfId="600" priority="18727" stopIfTrue="1" operator="equal">
      <formula>2</formula>
    </cfRule>
  </conditionalFormatting>
  <conditionalFormatting sqref="FI132">
    <cfRule type="expression" dxfId="599" priority="18726" stopIfTrue="1">
      <formula>$FI$133=2</formula>
    </cfRule>
  </conditionalFormatting>
  <conditionalFormatting sqref="FI133">
    <cfRule type="expression" dxfId="598" priority="18725" stopIfTrue="1">
      <formula>$FI$132=2</formula>
    </cfRule>
  </conditionalFormatting>
  <conditionalFormatting sqref="FI132:FI133">
    <cfRule type="expression" dxfId="597" priority="18720" stopIfTrue="1">
      <formula>NOT(AND(SUM($FI$132:$FI$133) &lt;= 3,AND(NOT($FI$132&lt;0),NOT($FI$133&lt;0)),NOT(AND($FI$132=0,$FI$133=3)),NOT(AND($FI$132=3,$FI$133=0))))</formula>
    </cfRule>
  </conditionalFormatting>
  <conditionalFormatting sqref="FM132:FM133">
    <cfRule type="cellIs" dxfId="596" priority="18723" stopIfTrue="1" operator="equal">
      <formula>2</formula>
    </cfRule>
  </conditionalFormatting>
  <conditionalFormatting sqref="FM132">
    <cfRule type="expression" dxfId="595" priority="18722" stopIfTrue="1">
      <formula>$FM$133=2</formula>
    </cfRule>
  </conditionalFormatting>
  <conditionalFormatting sqref="FM133">
    <cfRule type="expression" dxfId="594" priority="18721" stopIfTrue="1">
      <formula>$FM$132=2</formula>
    </cfRule>
  </conditionalFormatting>
  <conditionalFormatting sqref="FM132:FM133">
    <cfRule type="expression" dxfId="593" priority="18716" stopIfTrue="1">
      <formula>NOT(AND(SUM($FM$132:$FM$133) &lt;= 3,AND(NOT($FM$132&lt;0),NOT($FM$133&lt;0)),NOT(AND($FM$132=0,$FM$133=3)),NOT(AND($FM$132=3,$FM$133=0))))</formula>
    </cfRule>
  </conditionalFormatting>
  <conditionalFormatting sqref="CO136:CO137">
    <cfRule type="cellIs" dxfId="592" priority="18719" stopIfTrue="1" operator="equal">
      <formula>2</formula>
    </cfRule>
  </conditionalFormatting>
  <conditionalFormatting sqref="CO136">
    <cfRule type="expression" dxfId="591" priority="18718" stopIfTrue="1">
      <formula>$CO$137=2</formula>
    </cfRule>
  </conditionalFormatting>
  <conditionalFormatting sqref="CO137">
    <cfRule type="expression" dxfId="590" priority="18717" stopIfTrue="1">
      <formula>$CO$136=2</formula>
    </cfRule>
  </conditionalFormatting>
  <conditionalFormatting sqref="CO136:CO137">
    <cfRule type="expression" dxfId="589" priority="18712" stopIfTrue="1">
      <formula>NOT(AND(SUM($CO$136:$CO$137) &lt;= 3,AND(NOT($CO$136&lt;0),NOT($CO$137&lt;0)),NOT(AND($CO$136=0,$CO$137=3)),NOT(AND($CO$136=3,$CO$137=0))))</formula>
    </cfRule>
  </conditionalFormatting>
  <conditionalFormatting sqref="CS136:CS137">
    <cfRule type="cellIs" dxfId="588" priority="18715" stopIfTrue="1" operator="equal">
      <formula>2</formula>
    </cfRule>
  </conditionalFormatting>
  <conditionalFormatting sqref="CS136">
    <cfRule type="expression" dxfId="587" priority="18714" stopIfTrue="1">
      <formula>$CS$137=2</formula>
    </cfRule>
  </conditionalFormatting>
  <conditionalFormatting sqref="CS137">
    <cfRule type="expression" dxfId="586" priority="18713" stopIfTrue="1">
      <formula>$CS$136=2</formula>
    </cfRule>
  </conditionalFormatting>
  <conditionalFormatting sqref="CS136:CS137">
    <cfRule type="expression" dxfId="585" priority="18708" stopIfTrue="1">
      <formula>NOT(AND(SUM($CS$136:$CS$137) &lt;= 3,AND(NOT($CS$136&lt;0),NOT($CS$137&lt;0)),NOT(AND($CS$136=0,$CS$137=3)),NOT(AND($CS$136=3,$CS$137=0))))</formula>
    </cfRule>
  </conditionalFormatting>
  <conditionalFormatting sqref="CW136:CW137">
    <cfRule type="cellIs" dxfId="584" priority="18711" stopIfTrue="1" operator="equal">
      <formula>2</formula>
    </cfRule>
  </conditionalFormatting>
  <conditionalFormatting sqref="CW136">
    <cfRule type="expression" dxfId="583" priority="18710" stopIfTrue="1">
      <formula>$CW$137=2</formula>
    </cfRule>
  </conditionalFormatting>
  <conditionalFormatting sqref="CW137">
    <cfRule type="expression" dxfId="582" priority="18709" stopIfTrue="1">
      <formula>$CW$136=2</formula>
    </cfRule>
  </conditionalFormatting>
  <conditionalFormatting sqref="CW136:CW137">
    <cfRule type="expression" dxfId="581" priority="18704" stopIfTrue="1">
      <formula>NOT(AND(SUM($CW$136:$CW$137) &lt;= 3,AND(NOT($CW$136&lt;0),NOT($CW$137&lt;0)),NOT(AND($CW$136=0,$CW$137=3)),NOT(AND($CW$136=3,$CW$137=0))))</formula>
    </cfRule>
  </conditionalFormatting>
  <conditionalFormatting sqref="DA136:DA137">
    <cfRule type="cellIs" dxfId="580" priority="18707" stopIfTrue="1" operator="equal">
      <formula>2</formula>
    </cfRule>
  </conditionalFormatting>
  <conditionalFormatting sqref="DA136">
    <cfRule type="expression" dxfId="579" priority="18706" stopIfTrue="1">
      <formula>$DA$137=2</formula>
    </cfRule>
  </conditionalFormatting>
  <conditionalFormatting sqref="DA137">
    <cfRule type="expression" dxfId="578" priority="18705" stopIfTrue="1">
      <formula>$DA$136=2</formula>
    </cfRule>
  </conditionalFormatting>
  <conditionalFormatting sqref="DA136:DA137">
    <cfRule type="expression" dxfId="577" priority="18700" stopIfTrue="1">
      <formula>NOT(AND(SUM($DA$136:$DA$137) &lt;= 3,AND(NOT($DA$136&lt;0),NOT($DA$137&lt;0)),NOT(AND($DA$136=0,$DA$137=3)),NOT(AND($DA$136=3,$DA$137=0))))</formula>
    </cfRule>
  </conditionalFormatting>
  <conditionalFormatting sqref="DE136:DE137">
    <cfRule type="cellIs" dxfId="576" priority="18703" stopIfTrue="1" operator="equal">
      <formula>2</formula>
    </cfRule>
  </conditionalFormatting>
  <conditionalFormatting sqref="DE136">
    <cfRule type="expression" dxfId="575" priority="18702" stopIfTrue="1">
      <formula>$DE$137=2</formula>
    </cfRule>
  </conditionalFormatting>
  <conditionalFormatting sqref="DE137">
    <cfRule type="expression" dxfId="574" priority="18701" stopIfTrue="1">
      <formula>$DE$136=2</formula>
    </cfRule>
  </conditionalFormatting>
  <conditionalFormatting sqref="DE136:DE137">
    <cfRule type="expression" dxfId="573" priority="18696" stopIfTrue="1">
      <formula>NOT(AND(SUM($DE$136:$DE$137) &lt;= 3,AND(NOT($DE$136&lt;0),NOT($DE$137&lt;0)),NOT(AND($DE$136=0,$DE$137=3)),NOT(AND($DE$136=3,$DE$137=0))))</formula>
    </cfRule>
  </conditionalFormatting>
  <conditionalFormatting sqref="DI136:DI137">
    <cfRule type="cellIs" dxfId="572" priority="18699" stopIfTrue="1" operator="equal">
      <formula>2</formula>
    </cfRule>
  </conditionalFormatting>
  <conditionalFormatting sqref="DI136">
    <cfRule type="expression" dxfId="571" priority="18698" stopIfTrue="1">
      <formula>$DI$137=2</formula>
    </cfRule>
  </conditionalFormatting>
  <conditionalFormatting sqref="DI137">
    <cfRule type="expression" dxfId="570" priority="18697" stopIfTrue="1">
      <formula>$DI$136=2</formula>
    </cfRule>
  </conditionalFormatting>
  <conditionalFormatting sqref="DI136:DI137">
    <cfRule type="expression" dxfId="569" priority="18692" stopIfTrue="1">
      <formula>NOT(AND(SUM($DI$136:$DI$137) &lt;= 3,AND(NOT($DI$136&lt;0),NOT($DI$137&lt;0)),NOT(AND($DI$136=0,$DI$137=3)),NOT(AND($DI$136=3,$DI$137=0))))</formula>
    </cfRule>
  </conditionalFormatting>
  <conditionalFormatting sqref="DM136:DM137">
    <cfRule type="cellIs" dxfId="568" priority="18695" stopIfTrue="1" operator="equal">
      <formula>2</formula>
    </cfRule>
  </conditionalFormatting>
  <conditionalFormatting sqref="DM136">
    <cfRule type="expression" dxfId="567" priority="18694" stopIfTrue="1">
      <formula>$DM$137=2</formula>
    </cfRule>
  </conditionalFormatting>
  <conditionalFormatting sqref="DM137">
    <cfRule type="expression" dxfId="566" priority="18693" stopIfTrue="1">
      <formula>$DM$136=2</formula>
    </cfRule>
  </conditionalFormatting>
  <conditionalFormatting sqref="DM136:DM137">
    <cfRule type="expression" dxfId="565" priority="18688" stopIfTrue="1">
      <formula>NOT(AND(SUM($DM$136:$DM$137) &lt;= 3,AND(NOT($DM$136&lt;0),NOT($DM$137&lt;0)),NOT(AND($DM$136=0,$DM$137=3)),NOT(AND($DM$136=3,$DM$137=0))))</formula>
    </cfRule>
  </conditionalFormatting>
  <conditionalFormatting sqref="DQ136:DQ137">
    <cfRule type="cellIs" dxfId="564" priority="18691" stopIfTrue="1" operator="equal">
      <formula>2</formula>
    </cfRule>
  </conditionalFormatting>
  <conditionalFormatting sqref="DQ136">
    <cfRule type="expression" dxfId="563" priority="18690" stopIfTrue="1">
      <formula>$DQ$137=2</formula>
    </cfRule>
  </conditionalFormatting>
  <conditionalFormatting sqref="DQ137">
    <cfRule type="expression" dxfId="562" priority="18689" stopIfTrue="1">
      <formula>$DQ$136=2</formula>
    </cfRule>
  </conditionalFormatting>
  <conditionalFormatting sqref="DQ136:DQ137">
    <cfRule type="expression" dxfId="561" priority="18684" stopIfTrue="1">
      <formula>NOT(AND(SUM($DQ$136:$DQ$137) &lt;= 3,AND(NOT($DQ$136&lt;0),NOT($DQ$137&lt;0)),NOT(AND($DQ$136=0,$DQ$137=3)),NOT(AND($DQ$136=3,$DQ$137=0))))</formula>
    </cfRule>
  </conditionalFormatting>
  <conditionalFormatting sqref="DU136:DU137">
    <cfRule type="cellIs" dxfId="560" priority="18687" stopIfTrue="1" operator="equal">
      <formula>2</formula>
    </cfRule>
  </conditionalFormatting>
  <conditionalFormatting sqref="DU136">
    <cfRule type="expression" dxfId="559" priority="18686" stopIfTrue="1">
      <formula>$DU$137=2</formula>
    </cfRule>
  </conditionalFormatting>
  <conditionalFormatting sqref="DU137">
    <cfRule type="expression" dxfId="558" priority="18685" stopIfTrue="1">
      <formula>$DU$136=2</formula>
    </cfRule>
  </conditionalFormatting>
  <conditionalFormatting sqref="DU136:DU137">
    <cfRule type="expression" dxfId="557" priority="18680" stopIfTrue="1">
      <formula>NOT(AND(SUM($DU$136:$DU$137) &lt;= 3,AND(NOT($DU$136&lt;0),NOT($DU$137&lt;0)),NOT(AND($DU$136=0,$DU$137=3)),NOT(AND($DU$136=3,$DU$137=0))))</formula>
    </cfRule>
  </conditionalFormatting>
  <conditionalFormatting sqref="DY136:DY137">
    <cfRule type="cellIs" dxfId="556" priority="18683" stopIfTrue="1" operator="equal">
      <formula>2</formula>
    </cfRule>
  </conditionalFormatting>
  <conditionalFormatting sqref="DY136">
    <cfRule type="expression" dxfId="555" priority="18682" stopIfTrue="1">
      <formula>$DY$137=2</formula>
    </cfRule>
  </conditionalFormatting>
  <conditionalFormatting sqref="DY137">
    <cfRule type="expression" dxfId="554" priority="18681" stopIfTrue="1">
      <formula>$DY$136=2</formula>
    </cfRule>
  </conditionalFormatting>
  <conditionalFormatting sqref="DY136:DY137">
    <cfRule type="expression" dxfId="553" priority="18676" stopIfTrue="1">
      <formula>NOT(AND(SUM($DY$136:$DY$137) &lt;= 3,AND(NOT($DY$136&lt;0),NOT($DY$137&lt;0)),NOT(AND($DY$136=0,$DY$137=3)),NOT(AND($DY$136=3,$DY$137=0))))</formula>
    </cfRule>
  </conditionalFormatting>
  <conditionalFormatting sqref="EC136:EC137">
    <cfRule type="cellIs" dxfId="552" priority="18679" stopIfTrue="1" operator="equal">
      <formula>2</formula>
    </cfRule>
  </conditionalFormatting>
  <conditionalFormatting sqref="EC136">
    <cfRule type="expression" dxfId="551" priority="18678" stopIfTrue="1">
      <formula>$EC$137=2</formula>
    </cfRule>
  </conditionalFormatting>
  <conditionalFormatting sqref="EC137">
    <cfRule type="expression" dxfId="550" priority="18677" stopIfTrue="1">
      <formula>$EC$136=2</formula>
    </cfRule>
  </conditionalFormatting>
  <conditionalFormatting sqref="EC136:EC137">
    <cfRule type="expression" dxfId="549" priority="18672" stopIfTrue="1">
      <formula>NOT(AND(SUM($EC$136:$EC$137) &lt;= 3,AND(NOT($EC$136&lt;0),NOT($EC$137&lt;0)),NOT(AND($EC$136=0,$EC$137=3)),NOT(AND($EC$136=3,$EC$137=0))))</formula>
    </cfRule>
  </conditionalFormatting>
  <conditionalFormatting sqref="EG136:EG137">
    <cfRule type="cellIs" dxfId="548" priority="18675" stopIfTrue="1" operator="equal">
      <formula>2</formula>
    </cfRule>
  </conditionalFormatting>
  <conditionalFormatting sqref="EG136">
    <cfRule type="expression" dxfId="547" priority="18674" stopIfTrue="1">
      <formula>$EG$137=2</formula>
    </cfRule>
  </conditionalFormatting>
  <conditionalFormatting sqref="EG137">
    <cfRule type="expression" dxfId="546" priority="18673" stopIfTrue="1">
      <formula>$EG$136=2</formula>
    </cfRule>
  </conditionalFormatting>
  <conditionalFormatting sqref="EG136:EG137">
    <cfRule type="expression" dxfId="545" priority="18668" stopIfTrue="1">
      <formula>NOT(AND(SUM($EG$136:$EG$137) &lt;= 3,AND(NOT($EG$136&lt;0),NOT($EG$137&lt;0)),NOT(AND($EG$136=0,$EG$137=3)),NOT(AND($EG$136=3,$EG$137=0))))</formula>
    </cfRule>
  </conditionalFormatting>
  <conditionalFormatting sqref="EK136:EK137">
    <cfRule type="cellIs" dxfId="544" priority="18671" stopIfTrue="1" operator="equal">
      <formula>2</formula>
    </cfRule>
  </conditionalFormatting>
  <conditionalFormatting sqref="EK136">
    <cfRule type="expression" dxfId="543" priority="18670" stopIfTrue="1">
      <formula>$EK$137=2</formula>
    </cfRule>
  </conditionalFormatting>
  <conditionalFormatting sqref="EK137">
    <cfRule type="expression" dxfId="542" priority="18669" stopIfTrue="1">
      <formula>$EK$136=2</formula>
    </cfRule>
  </conditionalFormatting>
  <conditionalFormatting sqref="EK136:EK137">
    <cfRule type="expression" dxfId="541" priority="18664" stopIfTrue="1">
      <formula>NOT(AND(SUM($EK$136:$EK$137) &lt;= 3,AND(NOT($EK$136&lt;0),NOT($EK$137&lt;0)),NOT(AND($EK$136=0,$EK$137=3)),NOT(AND($EK$136=3,$EK$137=0))))</formula>
    </cfRule>
  </conditionalFormatting>
  <conditionalFormatting sqref="EO136:EO137">
    <cfRule type="cellIs" dxfId="540" priority="18667" stopIfTrue="1" operator="equal">
      <formula>2</formula>
    </cfRule>
  </conditionalFormatting>
  <conditionalFormatting sqref="EO136">
    <cfRule type="expression" dxfId="539" priority="18666" stopIfTrue="1">
      <formula>$EO$137=2</formula>
    </cfRule>
  </conditionalFormatting>
  <conditionalFormatting sqref="EO137">
    <cfRule type="expression" dxfId="538" priority="18665" stopIfTrue="1">
      <formula>$EO$136=2</formula>
    </cfRule>
  </conditionalFormatting>
  <conditionalFormatting sqref="EO136:EO137">
    <cfRule type="expression" dxfId="537" priority="18660" stopIfTrue="1">
      <formula>NOT(AND(SUM($EO$136:$EO$137) &lt;= 3,AND(NOT($EO$136&lt;0),NOT($EO$137&lt;0)),NOT(AND($EO$136=0,$EO$137=3)),NOT(AND($EO$136=3,$EO$137=0))))</formula>
    </cfRule>
  </conditionalFormatting>
  <conditionalFormatting sqref="ES136:ES137">
    <cfRule type="cellIs" dxfId="536" priority="18663" stopIfTrue="1" operator="equal">
      <formula>2</formula>
    </cfRule>
  </conditionalFormatting>
  <conditionalFormatting sqref="ES136">
    <cfRule type="expression" dxfId="535" priority="18662" stopIfTrue="1">
      <formula>$ES$137=2</formula>
    </cfRule>
  </conditionalFormatting>
  <conditionalFormatting sqref="ES137">
    <cfRule type="expression" dxfId="534" priority="18661" stopIfTrue="1">
      <formula>$ES$136=2</formula>
    </cfRule>
  </conditionalFormatting>
  <conditionalFormatting sqref="ES136:ES137">
    <cfRule type="expression" dxfId="533" priority="18656" stopIfTrue="1">
      <formula>NOT(AND(SUM($ES$136:$ES$137) &lt;= 3,AND(NOT($ES$136&lt;0),NOT($ES$137&lt;0)),NOT(AND($ES$136=0,$ES$137=3)),NOT(AND($ES$136=3,$ES$137=0))))</formula>
    </cfRule>
  </conditionalFormatting>
  <conditionalFormatting sqref="EW136:EW137">
    <cfRule type="cellIs" dxfId="532" priority="18659" stopIfTrue="1" operator="equal">
      <formula>2</formula>
    </cfRule>
  </conditionalFormatting>
  <conditionalFormatting sqref="EW136">
    <cfRule type="expression" dxfId="531" priority="18658" stopIfTrue="1">
      <formula>$EW$137=2</formula>
    </cfRule>
  </conditionalFormatting>
  <conditionalFormatting sqref="EW137">
    <cfRule type="expression" dxfId="530" priority="18657" stopIfTrue="1">
      <formula>$EW$136=2</formula>
    </cfRule>
  </conditionalFormatting>
  <conditionalFormatting sqref="EW136:EW137">
    <cfRule type="expression" dxfId="529" priority="18652" stopIfTrue="1">
      <formula>NOT(AND(SUM($EW$136:$EW$137) &lt;= 3,AND(NOT($EW$136&lt;0),NOT($EW$137&lt;0)),NOT(AND($EW$136=0,$EW$137=3)),NOT(AND($EW$136=3,$EW$137=0))))</formula>
    </cfRule>
  </conditionalFormatting>
  <conditionalFormatting sqref="FA136:FA137">
    <cfRule type="cellIs" dxfId="528" priority="18655" stopIfTrue="1" operator="equal">
      <formula>2</formula>
    </cfRule>
  </conditionalFormatting>
  <conditionalFormatting sqref="FA136">
    <cfRule type="expression" dxfId="527" priority="18654" stopIfTrue="1">
      <formula>$FA$137=2</formula>
    </cfRule>
  </conditionalFormatting>
  <conditionalFormatting sqref="FA137">
    <cfRule type="expression" dxfId="526" priority="18653" stopIfTrue="1">
      <formula>$FA$136=2</formula>
    </cfRule>
  </conditionalFormatting>
  <conditionalFormatting sqref="FA136:FA137">
    <cfRule type="expression" dxfId="525" priority="18648" stopIfTrue="1">
      <formula>NOT(AND(SUM($FA$136:$FA$137) &lt;= 3,AND(NOT($FA$136&lt;0),NOT($FA$137&lt;0)),NOT(AND($FA$136=0,$FA$137=3)),NOT(AND($FA$136=3,$FA$137=0))))</formula>
    </cfRule>
  </conditionalFormatting>
  <conditionalFormatting sqref="FE136:FE137">
    <cfRule type="cellIs" dxfId="524" priority="18651" stopIfTrue="1" operator="equal">
      <formula>2</formula>
    </cfRule>
  </conditionalFormatting>
  <conditionalFormatting sqref="FE136">
    <cfRule type="expression" dxfId="523" priority="18650" stopIfTrue="1">
      <formula>$FE$137=2</formula>
    </cfRule>
  </conditionalFormatting>
  <conditionalFormatting sqref="FE137">
    <cfRule type="expression" dxfId="522" priority="18649" stopIfTrue="1">
      <formula>$FE$136=2</formula>
    </cfRule>
  </conditionalFormatting>
  <conditionalFormatting sqref="FE136:FE137">
    <cfRule type="expression" dxfId="521" priority="18644" stopIfTrue="1">
      <formula>NOT(AND(SUM($FE$136:$FE$137) &lt;= 3,AND(NOT($FE$136&lt;0),NOT($FE$137&lt;0)),NOT(AND($FE$136=0,$FE$137=3)),NOT(AND($FE$136=3,$FE$137=0))))</formula>
    </cfRule>
  </conditionalFormatting>
  <conditionalFormatting sqref="FI136:FI137">
    <cfRule type="cellIs" dxfId="520" priority="18647" stopIfTrue="1" operator="equal">
      <formula>2</formula>
    </cfRule>
  </conditionalFormatting>
  <conditionalFormatting sqref="FI136">
    <cfRule type="expression" dxfId="519" priority="18646" stopIfTrue="1">
      <formula>$FI$137=2</formula>
    </cfRule>
  </conditionalFormatting>
  <conditionalFormatting sqref="FI137">
    <cfRule type="expression" dxfId="518" priority="18645" stopIfTrue="1">
      <formula>$FI$136=2</formula>
    </cfRule>
  </conditionalFormatting>
  <conditionalFormatting sqref="FI136:FI137">
    <cfRule type="expression" dxfId="517" priority="18640" stopIfTrue="1">
      <formula>NOT(AND(SUM($FI$136:$FI$137) &lt;= 3,AND(NOT($FI$136&lt;0),NOT($FI$137&lt;0)),NOT(AND($FI$136=0,$FI$137=3)),NOT(AND($FI$136=3,$FI$137=0))))</formula>
    </cfRule>
  </conditionalFormatting>
  <conditionalFormatting sqref="FM136:FM137">
    <cfRule type="cellIs" dxfId="516" priority="18643" stopIfTrue="1" operator="equal">
      <formula>2</formula>
    </cfRule>
  </conditionalFormatting>
  <conditionalFormatting sqref="FM136">
    <cfRule type="expression" dxfId="515" priority="18642" stopIfTrue="1">
      <formula>$FM$137=2</formula>
    </cfRule>
  </conditionalFormatting>
  <conditionalFormatting sqref="FM137">
    <cfRule type="expression" dxfId="514" priority="18641" stopIfTrue="1">
      <formula>$FM$136=2</formula>
    </cfRule>
  </conditionalFormatting>
  <conditionalFormatting sqref="FM136:FM137">
    <cfRule type="expression" dxfId="513" priority="18636" stopIfTrue="1">
      <formula>NOT(AND(SUM($FM$136:$FM$137) &lt;= 3,AND(NOT($FM$136&lt;0),NOT($FM$137&lt;0)),NOT(AND($FM$136=0,$FM$137=3)),NOT(AND($FM$136=3,$FM$137=0))))</formula>
    </cfRule>
  </conditionalFormatting>
  <conditionalFormatting sqref="CO140:CO141">
    <cfRule type="cellIs" dxfId="512" priority="18639" stopIfTrue="1" operator="equal">
      <formula>2</formula>
    </cfRule>
  </conditionalFormatting>
  <conditionalFormatting sqref="CO140">
    <cfRule type="expression" dxfId="511" priority="18638" stopIfTrue="1">
      <formula>$CO$141=2</formula>
    </cfRule>
  </conditionalFormatting>
  <conditionalFormatting sqref="CO141">
    <cfRule type="expression" dxfId="510" priority="18637" stopIfTrue="1">
      <formula>$CO$140=2</formula>
    </cfRule>
  </conditionalFormatting>
  <conditionalFormatting sqref="CO140:CO141">
    <cfRule type="expression" dxfId="509" priority="18632" stopIfTrue="1">
      <formula>NOT(AND(SUM($CO$140:$CO$141) &lt;= 3,AND(NOT($CO$140&lt;0),NOT($CO$141&lt;0)),NOT(AND($CO$140=0,$CO$141=3)),NOT(AND($CO$140=3,$CO$141=0))))</formula>
    </cfRule>
  </conditionalFormatting>
  <conditionalFormatting sqref="CS140:CS141">
    <cfRule type="cellIs" dxfId="508" priority="18635" stopIfTrue="1" operator="equal">
      <formula>2</formula>
    </cfRule>
  </conditionalFormatting>
  <conditionalFormatting sqref="CS140">
    <cfRule type="expression" dxfId="507" priority="18634" stopIfTrue="1">
      <formula>$CS$141=2</formula>
    </cfRule>
  </conditionalFormatting>
  <conditionalFormatting sqref="CS141">
    <cfRule type="expression" dxfId="506" priority="18633" stopIfTrue="1">
      <formula>$CS$140=2</formula>
    </cfRule>
  </conditionalFormatting>
  <conditionalFormatting sqref="CS140:CS141">
    <cfRule type="expression" dxfId="505" priority="18628" stopIfTrue="1">
      <formula>NOT(AND(SUM($CS$140:$CS$141) &lt;= 3,AND(NOT($CS$140&lt;0),NOT($CS$141&lt;0)),NOT(AND($CS$140=0,$CS$141=3)),NOT(AND($CS$140=3,$CS$141=0))))</formula>
    </cfRule>
  </conditionalFormatting>
  <conditionalFormatting sqref="CW140:CW141">
    <cfRule type="cellIs" dxfId="504" priority="18631" stopIfTrue="1" operator="equal">
      <formula>2</formula>
    </cfRule>
  </conditionalFormatting>
  <conditionalFormatting sqref="CW140">
    <cfRule type="expression" dxfId="503" priority="18630" stopIfTrue="1">
      <formula>$CW$141=2</formula>
    </cfRule>
  </conditionalFormatting>
  <conditionalFormatting sqref="CW141">
    <cfRule type="expression" dxfId="502" priority="18629" stopIfTrue="1">
      <formula>$CW$140=2</formula>
    </cfRule>
  </conditionalFormatting>
  <conditionalFormatting sqref="CW140:CW141">
    <cfRule type="expression" dxfId="501" priority="18624" stopIfTrue="1">
      <formula>NOT(AND(SUM($CW$140:$CW$141) &lt;= 3,AND(NOT($CW$140&lt;0),NOT($CW$141&lt;0)),NOT(AND($CW$140=0,$CW$141=3)),NOT(AND($CW$140=3,$CW$141=0))))</formula>
    </cfRule>
  </conditionalFormatting>
  <conditionalFormatting sqref="DA140:DA141">
    <cfRule type="cellIs" dxfId="500" priority="18627" stopIfTrue="1" operator="equal">
      <formula>2</formula>
    </cfRule>
  </conditionalFormatting>
  <conditionalFormatting sqref="DA140">
    <cfRule type="expression" dxfId="499" priority="18626" stopIfTrue="1">
      <formula>$DA$141=2</formula>
    </cfRule>
  </conditionalFormatting>
  <conditionalFormatting sqref="DA141">
    <cfRule type="expression" dxfId="498" priority="18625" stopIfTrue="1">
      <formula>$DA$140=2</formula>
    </cfRule>
  </conditionalFormatting>
  <conditionalFormatting sqref="DA140:DA141">
    <cfRule type="expression" dxfId="497" priority="18620" stopIfTrue="1">
      <formula>NOT(AND(SUM($DA$140:$DA$141) &lt;= 3,AND(NOT($DA$140&lt;0),NOT($DA$141&lt;0)),NOT(AND($DA$140=0,$DA$141=3)),NOT(AND($DA$140=3,$DA$141=0))))</formula>
    </cfRule>
  </conditionalFormatting>
  <conditionalFormatting sqref="DE140:DE141">
    <cfRule type="cellIs" dxfId="496" priority="18623" stopIfTrue="1" operator="equal">
      <formula>2</formula>
    </cfRule>
  </conditionalFormatting>
  <conditionalFormatting sqref="DE140">
    <cfRule type="expression" dxfId="495" priority="18622" stopIfTrue="1">
      <formula>$DE$141=2</formula>
    </cfRule>
  </conditionalFormatting>
  <conditionalFormatting sqref="DE141">
    <cfRule type="expression" dxfId="494" priority="18621" stopIfTrue="1">
      <formula>$DE$140=2</formula>
    </cfRule>
  </conditionalFormatting>
  <conditionalFormatting sqref="DE140:DE141">
    <cfRule type="expression" dxfId="493" priority="18616" stopIfTrue="1">
      <formula>NOT(AND(SUM($DE$140:$DE$141) &lt;= 3,AND(NOT($DE$140&lt;0),NOT($DE$141&lt;0)),NOT(AND($DE$140=0,$DE$141=3)),NOT(AND($DE$140=3,$DE$141=0))))</formula>
    </cfRule>
  </conditionalFormatting>
  <conditionalFormatting sqref="DI140:DI141">
    <cfRule type="cellIs" dxfId="492" priority="18619" stopIfTrue="1" operator="equal">
      <formula>2</formula>
    </cfRule>
  </conditionalFormatting>
  <conditionalFormatting sqref="DI140">
    <cfRule type="expression" dxfId="491" priority="18618" stopIfTrue="1">
      <formula>$DI$141=2</formula>
    </cfRule>
  </conditionalFormatting>
  <conditionalFormatting sqref="DI141">
    <cfRule type="expression" dxfId="490" priority="18617" stopIfTrue="1">
      <formula>$DI$140=2</formula>
    </cfRule>
  </conditionalFormatting>
  <conditionalFormatting sqref="DI140:DI141">
    <cfRule type="expression" dxfId="489" priority="18612" stopIfTrue="1">
      <formula>NOT(AND(SUM($DI$140:$DI$141) &lt;= 3,AND(NOT($DI$140&lt;0),NOT($DI$141&lt;0)),NOT(AND($DI$140=0,$DI$141=3)),NOT(AND($DI$140=3,$DI$141=0))))</formula>
    </cfRule>
  </conditionalFormatting>
  <conditionalFormatting sqref="DM140:DM141">
    <cfRule type="cellIs" dxfId="488" priority="18615" stopIfTrue="1" operator="equal">
      <formula>2</formula>
    </cfRule>
  </conditionalFormatting>
  <conditionalFormatting sqref="DM140">
    <cfRule type="expression" dxfId="487" priority="18614" stopIfTrue="1">
      <formula>$DM$141=2</formula>
    </cfRule>
  </conditionalFormatting>
  <conditionalFormatting sqref="DM141">
    <cfRule type="expression" dxfId="486" priority="18613" stopIfTrue="1">
      <formula>$DM$140=2</formula>
    </cfRule>
  </conditionalFormatting>
  <conditionalFormatting sqref="DM140:DM141">
    <cfRule type="expression" dxfId="485" priority="18608" stopIfTrue="1">
      <formula>NOT(AND(SUM($DM$140:$DM$141) &lt;= 3,AND(NOT($DM$140&lt;0),NOT($DM$141&lt;0)),NOT(AND($DM$140=0,$DM$141=3)),NOT(AND($DM$140=3,$DM$141=0))))</formula>
    </cfRule>
  </conditionalFormatting>
  <conditionalFormatting sqref="DQ140:DQ141">
    <cfRule type="cellIs" dxfId="484" priority="18611" stopIfTrue="1" operator="equal">
      <formula>2</formula>
    </cfRule>
  </conditionalFormatting>
  <conditionalFormatting sqref="DQ140">
    <cfRule type="expression" dxfId="483" priority="18610" stopIfTrue="1">
      <formula>$DQ$141=2</formula>
    </cfRule>
  </conditionalFormatting>
  <conditionalFormatting sqref="DQ141">
    <cfRule type="expression" dxfId="482" priority="18609" stopIfTrue="1">
      <formula>$DQ$140=2</formula>
    </cfRule>
  </conditionalFormatting>
  <conditionalFormatting sqref="DQ140:DQ141">
    <cfRule type="expression" dxfId="481" priority="18604" stopIfTrue="1">
      <formula>NOT(AND(SUM($DQ$140:$DQ$141) &lt;= 3,AND(NOT($DQ$140&lt;0),NOT($DQ$141&lt;0)),NOT(AND($DQ$140=0,$DQ$141=3)),NOT(AND($DQ$140=3,$DQ$141=0))))</formula>
    </cfRule>
  </conditionalFormatting>
  <conditionalFormatting sqref="DU140:DU141">
    <cfRule type="cellIs" dxfId="480" priority="18607" stopIfTrue="1" operator="equal">
      <formula>2</formula>
    </cfRule>
  </conditionalFormatting>
  <conditionalFormatting sqref="DU140">
    <cfRule type="expression" dxfId="479" priority="18606" stopIfTrue="1">
      <formula>$DU$141=2</formula>
    </cfRule>
  </conditionalFormatting>
  <conditionalFormatting sqref="DU141">
    <cfRule type="expression" dxfId="478" priority="18605" stopIfTrue="1">
      <formula>$DU$140=2</formula>
    </cfRule>
  </conditionalFormatting>
  <conditionalFormatting sqref="DU140:DU141">
    <cfRule type="expression" dxfId="477" priority="18600" stopIfTrue="1">
      <formula>NOT(AND(SUM($DU$140:$DU$141) &lt;= 3,AND(NOT($DU$140&lt;0),NOT($DU$141&lt;0)),NOT(AND($DU$140=0,$DU$141=3)),NOT(AND($DU$140=3,$DU$141=0))))</formula>
    </cfRule>
  </conditionalFormatting>
  <conditionalFormatting sqref="DY140:DY141">
    <cfRule type="cellIs" dxfId="476" priority="18603" stopIfTrue="1" operator="equal">
      <formula>2</formula>
    </cfRule>
  </conditionalFormatting>
  <conditionalFormatting sqref="DY140">
    <cfRule type="expression" dxfId="475" priority="18602" stopIfTrue="1">
      <formula>$DY$141=2</formula>
    </cfRule>
  </conditionalFormatting>
  <conditionalFormatting sqref="DY141">
    <cfRule type="expression" dxfId="474" priority="18601" stopIfTrue="1">
      <formula>$DY$140=2</formula>
    </cfRule>
  </conditionalFormatting>
  <conditionalFormatting sqref="DY140:DY141">
    <cfRule type="expression" dxfId="473" priority="18596" stopIfTrue="1">
      <formula>NOT(AND(SUM($DY$140:$DY$141) &lt;= 3,AND(NOT($DY$140&lt;0),NOT($DY$141&lt;0)),NOT(AND($DY$140=0,$DY$141=3)),NOT(AND($DY$140=3,$DY$141=0))))</formula>
    </cfRule>
  </conditionalFormatting>
  <conditionalFormatting sqref="EC140:EC141">
    <cfRule type="cellIs" dxfId="472" priority="18599" stopIfTrue="1" operator="equal">
      <formula>2</formula>
    </cfRule>
  </conditionalFormatting>
  <conditionalFormatting sqref="EC140">
    <cfRule type="expression" dxfId="471" priority="18598" stopIfTrue="1">
      <formula>$EC$141=2</formula>
    </cfRule>
  </conditionalFormatting>
  <conditionalFormatting sqref="EC141">
    <cfRule type="expression" dxfId="470" priority="18597" stopIfTrue="1">
      <formula>$EC$140=2</formula>
    </cfRule>
  </conditionalFormatting>
  <conditionalFormatting sqref="EC140:EC141">
    <cfRule type="expression" dxfId="469" priority="18592" stopIfTrue="1">
      <formula>NOT(AND(SUM($EC$140:$EC$141) &lt;= 3,AND(NOT($EC$140&lt;0),NOT($EC$141&lt;0)),NOT(AND($EC$140=0,$EC$141=3)),NOT(AND($EC$140=3,$EC$141=0))))</formula>
    </cfRule>
  </conditionalFormatting>
  <conditionalFormatting sqref="EG140:EG141">
    <cfRule type="cellIs" dxfId="468" priority="18595" stopIfTrue="1" operator="equal">
      <formula>2</formula>
    </cfRule>
  </conditionalFormatting>
  <conditionalFormatting sqref="EG140">
    <cfRule type="expression" dxfId="467" priority="18594" stopIfTrue="1">
      <formula>$EG$141=2</formula>
    </cfRule>
  </conditionalFormatting>
  <conditionalFormatting sqref="EG141">
    <cfRule type="expression" dxfId="466" priority="18593" stopIfTrue="1">
      <formula>$EG$140=2</formula>
    </cfRule>
  </conditionalFormatting>
  <conditionalFormatting sqref="EG140:EG141">
    <cfRule type="expression" dxfId="465" priority="18588" stopIfTrue="1">
      <formula>NOT(AND(SUM($EG$140:$EG$141) &lt;= 3,AND(NOT($EG$140&lt;0),NOT($EG$141&lt;0)),NOT(AND($EG$140=0,$EG$141=3)),NOT(AND($EG$140=3,$EG$141=0))))</formula>
    </cfRule>
  </conditionalFormatting>
  <conditionalFormatting sqref="EK140:EK141">
    <cfRule type="cellIs" dxfId="464" priority="18591" stopIfTrue="1" operator="equal">
      <formula>2</formula>
    </cfRule>
  </conditionalFormatting>
  <conditionalFormatting sqref="EK140">
    <cfRule type="expression" dxfId="463" priority="18590" stopIfTrue="1">
      <formula>$EK$141=2</formula>
    </cfRule>
  </conditionalFormatting>
  <conditionalFormatting sqref="EK141">
    <cfRule type="expression" dxfId="462" priority="18589" stopIfTrue="1">
      <formula>$EK$140=2</formula>
    </cfRule>
  </conditionalFormatting>
  <conditionalFormatting sqref="EK140:EK141">
    <cfRule type="expression" dxfId="461" priority="18584" stopIfTrue="1">
      <formula>NOT(AND(SUM($EK$140:$EK$141) &lt;= 3,AND(NOT($EK$140&lt;0),NOT($EK$141&lt;0)),NOT(AND($EK$140=0,$EK$141=3)),NOT(AND($EK$140=3,$EK$141=0))))</formula>
    </cfRule>
  </conditionalFormatting>
  <conditionalFormatting sqref="EO140:EO141">
    <cfRule type="cellIs" dxfId="460" priority="18587" stopIfTrue="1" operator="equal">
      <formula>2</formula>
    </cfRule>
  </conditionalFormatting>
  <conditionalFormatting sqref="EO140">
    <cfRule type="expression" dxfId="459" priority="18586" stopIfTrue="1">
      <formula>$EO$141=2</formula>
    </cfRule>
  </conditionalFormatting>
  <conditionalFormatting sqref="EO141">
    <cfRule type="expression" dxfId="458" priority="18585" stopIfTrue="1">
      <formula>$EO$140=2</formula>
    </cfRule>
  </conditionalFormatting>
  <conditionalFormatting sqref="EO140:EO141">
    <cfRule type="expression" dxfId="457" priority="18580" stopIfTrue="1">
      <formula>NOT(AND(SUM($EO$140:$EO$141) &lt;= 3,AND(NOT($EO$140&lt;0),NOT($EO$141&lt;0)),NOT(AND($EO$140=0,$EO$141=3)),NOT(AND($EO$140=3,$EO$141=0))))</formula>
    </cfRule>
  </conditionalFormatting>
  <conditionalFormatting sqref="ES140:ES141">
    <cfRule type="cellIs" dxfId="456" priority="18583" stopIfTrue="1" operator="equal">
      <formula>2</formula>
    </cfRule>
  </conditionalFormatting>
  <conditionalFormatting sqref="ES140">
    <cfRule type="expression" dxfId="455" priority="18582" stopIfTrue="1">
      <formula>$ES$141=2</formula>
    </cfRule>
  </conditionalFormatting>
  <conditionalFormatting sqref="ES141">
    <cfRule type="expression" dxfId="454" priority="18581" stopIfTrue="1">
      <formula>$ES$140=2</formula>
    </cfRule>
  </conditionalFormatting>
  <conditionalFormatting sqref="ES140:ES141">
    <cfRule type="expression" dxfId="453" priority="18576" stopIfTrue="1">
      <formula>NOT(AND(SUM($ES$140:$ES$141) &lt;= 3,AND(NOT($ES$140&lt;0),NOT($ES$141&lt;0)),NOT(AND($ES$140=0,$ES$141=3)),NOT(AND($ES$140=3,$ES$141=0))))</formula>
    </cfRule>
  </conditionalFormatting>
  <conditionalFormatting sqref="EW140:EW141">
    <cfRule type="cellIs" dxfId="452" priority="18579" stopIfTrue="1" operator="equal">
      <formula>2</formula>
    </cfRule>
  </conditionalFormatting>
  <conditionalFormatting sqref="EW140">
    <cfRule type="expression" dxfId="451" priority="18578" stopIfTrue="1">
      <formula>$EW$141=2</formula>
    </cfRule>
  </conditionalFormatting>
  <conditionalFormatting sqref="EW141">
    <cfRule type="expression" dxfId="450" priority="18577" stopIfTrue="1">
      <formula>$EW$140=2</formula>
    </cfRule>
  </conditionalFormatting>
  <conditionalFormatting sqref="EW140:EW141">
    <cfRule type="expression" dxfId="449" priority="18572" stopIfTrue="1">
      <formula>NOT(AND(SUM($EW$140:$EW$141) &lt;= 3,AND(NOT($EW$140&lt;0),NOT($EW$141&lt;0)),NOT(AND($EW$140=0,$EW$141=3)),NOT(AND($EW$140=3,$EW$141=0))))</formula>
    </cfRule>
  </conditionalFormatting>
  <conditionalFormatting sqref="FA140:FA141">
    <cfRule type="cellIs" dxfId="448" priority="18575" stopIfTrue="1" operator="equal">
      <formula>2</formula>
    </cfRule>
  </conditionalFormatting>
  <conditionalFormatting sqref="FA140">
    <cfRule type="expression" dxfId="447" priority="18574" stopIfTrue="1">
      <formula>$FA$141=2</formula>
    </cfRule>
  </conditionalFormatting>
  <conditionalFormatting sqref="FA141">
    <cfRule type="expression" dxfId="446" priority="18573" stopIfTrue="1">
      <formula>$FA$140=2</formula>
    </cfRule>
  </conditionalFormatting>
  <conditionalFormatting sqref="FA140:FA141">
    <cfRule type="expression" dxfId="445" priority="18568" stopIfTrue="1">
      <formula>NOT(AND(SUM($FA$140:$FA$141) &lt;= 3,AND(NOT($FA$140&lt;0),NOT($FA$141&lt;0)),NOT(AND($FA$140=0,$FA$141=3)),NOT(AND($FA$140=3,$FA$141=0))))</formula>
    </cfRule>
  </conditionalFormatting>
  <conditionalFormatting sqref="FE140:FE141">
    <cfRule type="cellIs" dxfId="444" priority="18571" stopIfTrue="1" operator="equal">
      <formula>2</formula>
    </cfRule>
  </conditionalFormatting>
  <conditionalFormatting sqref="FE140">
    <cfRule type="expression" dxfId="443" priority="18570" stopIfTrue="1">
      <formula>$FE$141=2</formula>
    </cfRule>
  </conditionalFormatting>
  <conditionalFormatting sqref="FE141">
    <cfRule type="expression" dxfId="442" priority="18569" stopIfTrue="1">
      <formula>$FE$140=2</formula>
    </cfRule>
  </conditionalFormatting>
  <conditionalFormatting sqref="FE140:FE141">
    <cfRule type="expression" dxfId="441" priority="18564" stopIfTrue="1">
      <formula>NOT(AND(SUM($FE$140:$FE$141) &lt;= 3,AND(NOT($FE$140&lt;0),NOT($FE$141&lt;0)),NOT(AND($FE$140=0,$FE$141=3)),NOT(AND($FE$140=3,$FE$141=0))))</formula>
    </cfRule>
  </conditionalFormatting>
  <conditionalFormatting sqref="FI140:FI141">
    <cfRule type="cellIs" dxfId="440" priority="18567" stopIfTrue="1" operator="equal">
      <formula>2</formula>
    </cfRule>
  </conditionalFormatting>
  <conditionalFormatting sqref="FI140">
    <cfRule type="expression" dxfId="439" priority="18566" stopIfTrue="1">
      <formula>$FI$141=2</formula>
    </cfRule>
  </conditionalFormatting>
  <conditionalFormatting sqref="FI141">
    <cfRule type="expression" dxfId="438" priority="18565" stopIfTrue="1">
      <formula>$FI$140=2</formula>
    </cfRule>
  </conditionalFormatting>
  <conditionalFormatting sqref="FI140:FI141">
    <cfRule type="expression" dxfId="437" priority="18560" stopIfTrue="1">
      <formula>NOT(AND(SUM($FI$140:$FI$141) &lt;= 3,AND(NOT($FI$140&lt;0),NOT($FI$141&lt;0)),NOT(AND($FI$140=0,$FI$141=3)),NOT(AND($FI$140=3,$FI$141=0))))</formula>
    </cfRule>
  </conditionalFormatting>
  <conditionalFormatting sqref="FM140:FM141">
    <cfRule type="cellIs" dxfId="436" priority="18563" stopIfTrue="1" operator="equal">
      <formula>2</formula>
    </cfRule>
  </conditionalFormatting>
  <conditionalFormatting sqref="FM140">
    <cfRule type="expression" dxfId="435" priority="18562" stopIfTrue="1">
      <formula>$FM$141=2</formula>
    </cfRule>
  </conditionalFormatting>
  <conditionalFormatting sqref="FM141">
    <cfRule type="expression" dxfId="434" priority="18561" stopIfTrue="1">
      <formula>$FM$140=2</formula>
    </cfRule>
  </conditionalFormatting>
  <conditionalFormatting sqref="FM140:FM141">
    <cfRule type="expression" dxfId="433" priority="18556" stopIfTrue="1">
      <formula>NOT(AND(SUM($FM$140:$FM$141) &lt;= 3,AND(NOT($FM$140&lt;0),NOT($FM$141&lt;0)),NOT(AND($FM$140=0,$FM$141=3)),NOT(AND($FM$140=3,$FM$141=0))))</formula>
    </cfRule>
  </conditionalFormatting>
  <conditionalFormatting sqref="CO144:CO145">
    <cfRule type="cellIs" dxfId="432" priority="18559" stopIfTrue="1" operator="equal">
      <formula>2</formula>
    </cfRule>
  </conditionalFormatting>
  <conditionalFormatting sqref="CO144">
    <cfRule type="expression" dxfId="431" priority="18558" stopIfTrue="1">
      <formula>$CO$145=2</formula>
    </cfRule>
  </conditionalFormatting>
  <conditionalFormatting sqref="CO145">
    <cfRule type="expression" dxfId="430" priority="18557" stopIfTrue="1">
      <formula>$CO$144=2</formula>
    </cfRule>
  </conditionalFormatting>
  <conditionalFormatting sqref="CO144:CO145">
    <cfRule type="expression" dxfId="429" priority="18552" stopIfTrue="1">
      <formula>NOT(AND(SUM($CO$144:$CO$145) &lt;= 3,AND(NOT($CO$144&lt;0),NOT($CO$145&lt;0)),NOT(AND($CO$144=0,$CO$145=3)),NOT(AND($CO$144=3,$CO$145=0))))</formula>
    </cfRule>
  </conditionalFormatting>
  <conditionalFormatting sqref="CS144:CS145">
    <cfRule type="cellIs" dxfId="428" priority="18555" stopIfTrue="1" operator="equal">
      <formula>2</formula>
    </cfRule>
  </conditionalFormatting>
  <conditionalFormatting sqref="CS144">
    <cfRule type="expression" dxfId="427" priority="18554" stopIfTrue="1">
      <formula>$CS$145=2</formula>
    </cfRule>
  </conditionalFormatting>
  <conditionalFormatting sqref="CS145">
    <cfRule type="expression" dxfId="426" priority="18553" stopIfTrue="1">
      <formula>$CS$144=2</formula>
    </cfRule>
  </conditionalFormatting>
  <conditionalFormatting sqref="CS144:CS145">
    <cfRule type="expression" dxfId="425" priority="18548" stopIfTrue="1">
      <formula>NOT(AND(SUM($CS$144:$CS$145) &lt;= 3,AND(NOT($CS$144&lt;0),NOT($CS$145&lt;0)),NOT(AND($CS$144=0,$CS$145=3)),NOT(AND($CS$144=3,$CS$145=0))))</formula>
    </cfRule>
  </conditionalFormatting>
  <conditionalFormatting sqref="CW144:CW145">
    <cfRule type="cellIs" dxfId="424" priority="18551" stopIfTrue="1" operator="equal">
      <formula>2</formula>
    </cfRule>
  </conditionalFormatting>
  <conditionalFormatting sqref="CW144">
    <cfRule type="expression" dxfId="423" priority="18550" stopIfTrue="1">
      <formula>$CW$145=2</formula>
    </cfRule>
  </conditionalFormatting>
  <conditionalFormatting sqref="CW145">
    <cfRule type="expression" dxfId="422" priority="18549" stopIfTrue="1">
      <formula>$CW$144=2</formula>
    </cfRule>
  </conditionalFormatting>
  <conditionalFormatting sqref="CW144:CW145">
    <cfRule type="expression" dxfId="421" priority="18544" stopIfTrue="1">
      <formula>NOT(AND(SUM($CW$144:$CW$145) &lt;= 3,AND(NOT($CW$144&lt;0),NOT($CW$145&lt;0)),NOT(AND($CW$144=0,$CW$145=3)),NOT(AND($CW$144=3,$CW$145=0))))</formula>
    </cfRule>
  </conditionalFormatting>
  <conditionalFormatting sqref="DA144:DA145">
    <cfRule type="cellIs" dxfId="420" priority="18547" stopIfTrue="1" operator="equal">
      <formula>2</formula>
    </cfRule>
  </conditionalFormatting>
  <conditionalFormatting sqref="DA144">
    <cfRule type="expression" dxfId="419" priority="18546" stopIfTrue="1">
      <formula>$DA$145=2</formula>
    </cfRule>
  </conditionalFormatting>
  <conditionalFormatting sqref="DA145">
    <cfRule type="expression" dxfId="418" priority="18545" stopIfTrue="1">
      <formula>$DA$144=2</formula>
    </cfRule>
  </conditionalFormatting>
  <conditionalFormatting sqref="DA144:DA145">
    <cfRule type="expression" dxfId="417" priority="18540" stopIfTrue="1">
      <formula>NOT(AND(SUM($DA$144:$DA$145) &lt;= 3,AND(NOT($DA$144&lt;0),NOT($DA$145&lt;0)),NOT(AND($DA$144=0,$DA$145=3)),NOT(AND($DA$144=3,$DA$145=0))))</formula>
    </cfRule>
  </conditionalFormatting>
  <conditionalFormatting sqref="DE144:DE145">
    <cfRule type="cellIs" dxfId="416" priority="18543" stopIfTrue="1" operator="equal">
      <formula>2</formula>
    </cfRule>
  </conditionalFormatting>
  <conditionalFormatting sqref="DE144">
    <cfRule type="expression" dxfId="415" priority="18542" stopIfTrue="1">
      <formula>$DE$145=2</formula>
    </cfRule>
  </conditionalFormatting>
  <conditionalFormatting sqref="DE145">
    <cfRule type="expression" dxfId="414" priority="18541" stopIfTrue="1">
      <formula>$DE$144=2</formula>
    </cfRule>
  </conditionalFormatting>
  <conditionalFormatting sqref="DE144:DE145">
    <cfRule type="expression" dxfId="413" priority="18536" stopIfTrue="1">
      <formula>NOT(AND(SUM($DE$144:$DE$145) &lt;= 3,AND(NOT($DE$144&lt;0),NOT($DE$145&lt;0)),NOT(AND($DE$144=0,$DE$145=3)),NOT(AND($DE$144=3,$DE$145=0))))</formula>
    </cfRule>
  </conditionalFormatting>
  <conditionalFormatting sqref="DI144:DI145">
    <cfRule type="cellIs" dxfId="412" priority="18539" stopIfTrue="1" operator="equal">
      <formula>2</formula>
    </cfRule>
  </conditionalFormatting>
  <conditionalFormatting sqref="DI144">
    <cfRule type="expression" dxfId="411" priority="18538" stopIfTrue="1">
      <formula>$DI$145=2</formula>
    </cfRule>
  </conditionalFormatting>
  <conditionalFormatting sqref="DI145">
    <cfRule type="expression" dxfId="410" priority="18537" stopIfTrue="1">
      <formula>$DI$144=2</formula>
    </cfRule>
  </conditionalFormatting>
  <conditionalFormatting sqref="DI144:DI145">
    <cfRule type="expression" dxfId="409" priority="18532" stopIfTrue="1">
      <formula>NOT(AND(SUM($DI$144:$DI$145) &lt;= 3,AND(NOT($DI$144&lt;0),NOT($DI$145&lt;0)),NOT(AND($DI$144=0,$DI$145=3)),NOT(AND($DI$144=3,$DI$145=0))))</formula>
    </cfRule>
  </conditionalFormatting>
  <conditionalFormatting sqref="DM144:DM145">
    <cfRule type="cellIs" dxfId="408" priority="18535" stopIfTrue="1" operator="equal">
      <formula>2</formula>
    </cfRule>
  </conditionalFormatting>
  <conditionalFormatting sqref="DM144">
    <cfRule type="expression" dxfId="407" priority="18534" stopIfTrue="1">
      <formula>$DM$145=2</formula>
    </cfRule>
  </conditionalFormatting>
  <conditionalFormatting sqref="DM145">
    <cfRule type="expression" dxfId="406" priority="18533" stopIfTrue="1">
      <formula>$DM$144=2</formula>
    </cfRule>
  </conditionalFormatting>
  <conditionalFormatting sqref="DM144:DM145">
    <cfRule type="expression" dxfId="405" priority="18528" stopIfTrue="1">
      <formula>NOT(AND(SUM($DM$144:$DM$145) &lt;= 3,AND(NOT($DM$144&lt;0),NOT($DM$145&lt;0)),NOT(AND($DM$144=0,$DM$145=3)),NOT(AND($DM$144=3,$DM$145=0))))</formula>
    </cfRule>
  </conditionalFormatting>
  <conditionalFormatting sqref="DQ144:DQ145">
    <cfRule type="cellIs" dxfId="404" priority="18531" stopIfTrue="1" operator="equal">
      <formula>2</formula>
    </cfRule>
  </conditionalFormatting>
  <conditionalFormatting sqref="DQ144">
    <cfRule type="expression" dxfId="403" priority="18530" stopIfTrue="1">
      <formula>$DQ$145=2</formula>
    </cfRule>
  </conditionalFormatting>
  <conditionalFormatting sqref="DQ145">
    <cfRule type="expression" dxfId="402" priority="18529" stopIfTrue="1">
      <formula>$DQ$144=2</formula>
    </cfRule>
  </conditionalFormatting>
  <conditionalFormatting sqref="DQ144:DQ145">
    <cfRule type="expression" dxfId="401" priority="18524" stopIfTrue="1">
      <formula>NOT(AND(SUM($DQ$144:$DQ$145) &lt;= 3,AND(NOT($DQ$144&lt;0),NOT($DQ$145&lt;0)),NOT(AND($DQ$144=0,$DQ$145=3)),NOT(AND($DQ$144=3,$DQ$145=0))))</formula>
    </cfRule>
  </conditionalFormatting>
  <conditionalFormatting sqref="DU144:DU145">
    <cfRule type="cellIs" dxfId="400" priority="18527" stopIfTrue="1" operator="equal">
      <formula>2</formula>
    </cfRule>
  </conditionalFormatting>
  <conditionalFormatting sqref="DU144">
    <cfRule type="expression" dxfId="399" priority="18526" stopIfTrue="1">
      <formula>$DU$145=2</formula>
    </cfRule>
  </conditionalFormatting>
  <conditionalFormatting sqref="DU145">
    <cfRule type="expression" dxfId="398" priority="18525" stopIfTrue="1">
      <formula>$DU$144=2</formula>
    </cfRule>
  </conditionalFormatting>
  <conditionalFormatting sqref="DU144:DU145">
    <cfRule type="expression" dxfId="397" priority="18520" stopIfTrue="1">
      <formula>NOT(AND(SUM($DU$144:$DU$145) &lt;= 3,AND(NOT($DU$144&lt;0),NOT($DU$145&lt;0)),NOT(AND($DU$144=0,$DU$145=3)),NOT(AND($DU$144=3,$DU$145=0))))</formula>
    </cfRule>
  </conditionalFormatting>
  <conditionalFormatting sqref="DY144:DY145">
    <cfRule type="cellIs" dxfId="396" priority="18523" stopIfTrue="1" operator="equal">
      <formula>2</formula>
    </cfRule>
  </conditionalFormatting>
  <conditionalFormatting sqref="DY144">
    <cfRule type="expression" dxfId="395" priority="18522" stopIfTrue="1">
      <formula>$DY$145=2</formula>
    </cfRule>
  </conditionalFormatting>
  <conditionalFormatting sqref="DY145">
    <cfRule type="expression" dxfId="394" priority="18521" stopIfTrue="1">
      <formula>$DY$144=2</formula>
    </cfRule>
  </conditionalFormatting>
  <conditionalFormatting sqref="DY144:DY145">
    <cfRule type="expression" dxfId="393" priority="18516" stopIfTrue="1">
      <formula>NOT(AND(SUM($DY$144:$DY$145) &lt;= 3,AND(NOT($DY$144&lt;0),NOT($DY$145&lt;0)),NOT(AND($DY$144=0,$DY$145=3)),NOT(AND($DY$144=3,$DY$145=0))))</formula>
    </cfRule>
  </conditionalFormatting>
  <conditionalFormatting sqref="EC144:EC145">
    <cfRule type="cellIs" dxfId="392" priority="18519" stopIfTrue="1" operator="equal">
      <formula>2</formula>
    </cfRule>
  </conditionalFormatting>
  <conditionalFormatting sqref="EC144">
    <cfRule type="expression" dxfId="391" priority="18518" stopIfTrue="1">
      <formula>$EC$145=2</formula>
    </cfRule>
  </conditionalFormatting>
  <conditionalFormatting sqref="EC145">
    <cfRule type="expression" dxfId="390" priority="18517" stopIfTrue="1">
      <formula>$EC$144=2</formula>
    </cfRule>
  </conditionalFormatting>
  <conditionalFormatting sqref="EC144:EC145">
    <cfRule type="expression" dxfId="389" priority="18512" stopIfTrue="1">
      <formula>NOT(AND(SUM($EC$144:$EC$145) &lt;= 3,AND(NOT($EC$144&lt;0),NOT($EC$145&lt;0)),NOT(AND($EC$144=0,$EC$145=3)),NOT(AND($EC$144=3,$EC$145=0))))</formula>
    </cfRule>
  </conditionalFormatting>
  <conditionalFormatting sqref="EG144:EG145">
    <cfRule type="cellIs" dxfId="388" priority="18515" stopIfTrue="1" operator="equal">
      <formula>2</formula>
    </cfRule>
  </conditionalFormatting>
  <conditionalFormatting sqref="EG144">
    <cfRule type="expression" dxfId="387" priority="18514" stopIfTrue="1">
      <formula>$EG$145=2</formula>
    </cfRule>
  </conditionalFormatting>
  <conditionalFormatting sqref="EG145">
    <cfRule type="expression" dxfId="386" priority="18513" stopIfTrue="1">
      <formula>$EG$144=2</formula>
    </cfRule>
  </conditionalFormatting>
  <conditionalFormatting sqref="EG144:EG145">
    <cfRule type="expression" dxfId="385" priority="18508" stopIfTrue="1">
      <formula>NOT(AND(SUM($EG$144:$EG$145) &lt;= 3,AND(NOT($EG$144&lt;0),NOT($EG$145&lt;0)),NOT(AND($EG$144=0,$EG$145=3)),NOT(AND($EG$144=3,$EG$145=0))))</formula>
    </cfRule>
  </conditionalFormatting>
  <conditionalFormatting sqref="EK144:EK145">
    <cfRule type="cellIs" dxfId="384" priority="18511" stopIfTrue="1" operator="equal">
      <formula>2</formula>
    </cfRule>
  </conditionalFormatting>
  <conditionalFormatting sqref="EK144">
    <cfRule type="expression" dxfId="383" priority="18510" stopIfTrue="1">
      <formula>$EK$145=2</formula>
    </cfRule>
  </conditionalFormatting>
  <conditionalFormatting sqref="EK145">
    <cfRule type="expression" dxfId="382" priority="18509" stopIfTrue="1">
      <formula>$EK$144=2</formula>
    </cfRule>
  </conditionalFormatting>
  <conditionalFormatting sqref="EK144:EK145">
    <cfRule type="expression" dxfId="381" priority="18504" stopIfTrue="1">
      <formula>NOT(AND(SUM($EK$144:$EK$145) &lt;= 3,AND(NOT($EK$144&lt;0),NOT($EK$145&lt;0)),NOT(AND($EK$144=0,$EK$145=3)),NOT(AND($EK$144=3,$EK$145=0))))</formula>
    </cfRule>
  </conditionalFormatting>
  <conditionalFormatting sqref="EO144:EO145">
    <cfRule type="cellIs" dxfId="380" priority="18507" stopIfTrue="1" operator="equal">
      <formula>2</formula>
    </cfRule>
  </conditionalFormatting>
  <conditionalFormatting sqref="EO144">
    <cfRule type="expression" dxfId="379" priority="18506" stopIfTrue="1">
      <formula>$EO$145=2</formula>
    </cfRule>
  </conditionalFormatting>
  <conditionalFormatting sqref="EO145">
    <cfRule type="expression" dxfId="378" priority="18505" stopIfTrue="1">
      <formula>$EO$144=2</formula>
    </cfRule>
  </conditionalFormatting>
  <conditionalFormatting sqref="EO144:EO145">
    <cfRule type="expression" dxfId="377" priority="18500" stopIfTrue="1">
      <formula>NOT(AND(SUM($EO$144:$EO$145) &lt;= 3,AND(NOT($EO$144&lt;0),NOT($EO$145&lt;0)),NOT(AND($EO$144=0,$EO$145=3)),NOT(AND($EO$144=3,$EO$145=0))))</formula>
    </cfRule>
  </conditionalFormatting>
  <conditionalFormatting sqref="ES144:ES145">
    <cfRule type="cellIs" dxfId="376" priority="18503" stopIfTrue="1" operator="equal">
      <formula>2</formula>
    </cfRule>
  </conditionalFormatting>
  <conditionalFormatting sqref="ES144">
    <cfRule type="expression" dxfId="375" priority="18502" stopIfTrue="1">
      <formula>$ES$145=2</formula>
    </cfRule>
  </conditionalFormatting>
  <conditionalFormatting sqref="ES145">
    <cfRule type="expression" dxfId="374" priority="18501" stopIfTrue="1">
      <formula>$ES$144=2</formula>
    </cfRule>
  </conditionalFormatting>
  <conditionalFormatting sqref="ES144:ES145">
    <cfRule type="expression" dxfId="373" priority="18496" stopIfTrue="1">
      <formula>NOT(AND(SUM($ES$144:$ES$145) &lt;= 3,AND(NOT($ES$144&lt;0),NOT($ES$145&lt;0)),NOT(AND($ES$144=0,$ES$145=3)),NOT(AND($ES$144=3,$ES$145=0))))</formula>
    </cfRule>
  </conditionalFormatting>
  <conditionalFormatting sqref="EW144:EW145">
    <cfRule type="cellIs" dxfId="372" priority="18499" stopIfTrue="1" operator="equal">
      <formula>2</formula>
    </cfRule>
  </conditionalFormatting>
  <conditionalFormatting sqref="EW144">
    <cfRule type="expression" dxfId="371" priority="18498" stopIfTrue="1">
      <formula>$EW$145=2</formula>
    </cfRule>
  </conditionalFormatting>
  <conditionalFormatting sqref="EW145">
    <cfRule type="expression" dxfId="370" priority="18497" stopIfTrue="1">
      <formula>$EW$144=2</formula>
    </cfRule>
  </conditionalFormatting>
  <conditionalFormatting sqref="EW144:EW145">
    <cfRule type="expression" dxfId="369" priority="18492" stopIfTrue="1">
      <formula>NOT(AND(SUM($EW$144:$EW$145) &lt;= 3,AND(NOT($EW$144&lt;0),NOT($EW$145&lt;0)),NOT(AND($EW$144=0,$EW$145=3)),NOT(AND($EW$144=3,$EW$145=0))))</formula>
    </cfRule>
  </conditionalFormatting>
  <conditionalFormatting sqref="FA144:FA145">
    <cfRule type="cellIs" dxfId="368" priority="18495" stopIfTrue="1" operator="equal">
      <formula>2</formula>
    </cfRule>
  </conditionalFormatting>
  <conditionalFormatting sqref="FA144">
    <cfRule type="expression" dxfId="367" priority="18494" stopIfTrue="1">
      <formula>$FA$145=2</formula>
    </cfRule>
  </conditionalFormatting>
  <conditionalFormatting sqref="FA145">
    <cfRule type="expression" dxfId="366" priority="18493" stopIfTrue="1">
      <formula>$FA$144=2</formula>
    </cfRule>
  </conditionalFormatting>
  <conditionalFormatting sqref="FA144:FA145">
    <cfRule type="expression" dxfId="365" priority="18488" stopIfTrue="1">
      <formula>NOT(AND(SUM($FA$144:$FA$145) &lt;= 3,AND(NOT($FA$144&lt;0),NOT($FA$145&lt;0)),NOT(AND($FA$144=0,$FA$145=3)),NOT(AND($FA$144=3,$FA$145=0))))</formula>
    </cfRule>
  </conditionalFormatting>
  <conditionalFormatting sqref="FE144:FE145">
    <cfRule type="cellIs" dxfId="364" priority="18491" stopIfTrue="1" operator="equal">
      <formula>2</formula>
    </cfRule>
  </conditionalFormatting>
  <conditionalFormatting sqref="FE144">
    <cfRule type="expression" dxfId="363" priority="18490" stopIfTrue="1">
      <formula>$FE$145=2</formula>
    </cfRule>
  </conditionalFormatting>
  <conditionalFormatting sqref="FE145">
    <cfRule type="expression" dxfId="362" priority="18489" stopIfTrue="1">
      <formula>$FE$144=2</formula>
    </cfRule>
  </conditionalFormatting>
  <conditionalFormatting sqref="FE144:FE145">
    <cfRule type="expression" dxfId="361" priority="18484" stopIfTrue="1">
      <formula>NOT(AND(SUM($FE$144:$FE$145) &lt;= 3,AND(NOT($FE$144&lt;0),NOT($FE$145&lt;0)),NOT(AND($FE$144=0,$FE$145=3)),NOT(AND($FE$144=3,$FE$145=0))))</formula>
    </cfRule>
  </conditionalFormatting>
  <conditionalFormatting sqref="FI144:FI145">
    <cfRule type="cellIs" dxfId="360" priority="18487" stopIfTrue="1" operator="equal">
      <formula>2</formula>
    </cfRule>
  </conditionalFormatting>
  <conditionalFormatting sqref="FI144">
    <cfRule type="expression" dxfId="359" priority="18486" stopIfTrue="1">
      <formula>$FI$145=2</formula>
    </cfRule>
  </conditionalFormatting>
  <conditionalFormatting sqref="FI145">
    <cfRule type="expression" dxfId="358" priority="18485" stopIfTrue="1">
      <formula>$FI$144=2</formula>
    </cfRule>
  </conditionalFormatting>
  <conditionalFormatting sqref="FI144:FI145">
    <cfRule type="expression" dxfId="357" priority="18480" stopIfTrue="1">
      <formula>NOT(AND(SUM($FI$144:$FI$145) &lt;= 3,AND(NOT($FI$144&lt;0),NOT($FI$145&lt;0)),NOT(AND($FI$144=0,$FI$145=3)),NOT(AND($FI$144=3,$FI$145=0))))</formula>
    </cfRule>
  </conditionalFormatting>
  <conditionalFormatting sqref="FM144:FM145">
    <cfRule type="cellIs" dxfId="356" priority="18483" stopIfTrue="1" operator="equal">
      <formula>2</formula>
    </cfRule>
  </conditionalFormatting>
  <conditionalFormatting sqref="FM144">
    <cfRule type="expression" dxfId="355" priority="18482" stopIfTrue="1">
      <formula>$FM$145=2</formula>
    </cfRule>
  </conditionalFormatting>
  <conditionalFormatting sqref="FM145">
    <cfRule type="expression" dxfId="354" priority="18481" stopIfTrue="1">
      <formula>$FM$144=2</formula>
    </cfRule>
  </conditionalFormatting>
  <conditionalFormatting sqref="FM144:FM145">
    <cfRule type="expression" dxfId="353" priority="18476" stopIfTrue="1">
      <formula>NOT(AND(SUM($FM$144:$FM$145) &lt;= 3,AND(NOT($FM$144&lt;0),NOT($FM$145&lt;0)),NOT(AND($FM$144=0,$FM$145=3)),NOT(AND($FM$144=3,$FM$145=0))))</formula>
    </cfRule>
  </conditionalFormatting>
  <conditionalFormatting sqref="CO148:CO149">
    <cfRule type="cellIs" dxfId="352" priority="18479" stopIfTrue="1" operator="equal">
      <formula>2</formula>
    </cfRule>
  </conditionalFormatting>
  <conditionalFormatting sqref="CO148">
    <cfRule type="expression" dxfId="351" priority="18478" stopIfTrue="1">
      <formula>$CO$149=2</formula>
    </cfRule>
  </conditionalFormatting>
  <conditionalFormatting sqref="CO149">
    <cfRule type="expression" dxfId="350" priority="18477" stopIfTrue="1">
      <formula>$CO$148=2</formula>
    </cfRule>
  </conditionalFormatting>
  <conditionalFormatting sqref="CO148:CO149">
    <cfRule type="expression" dxfId="349" priority="18472" stopIfTrue="1">
      <formula>NOT(AND(SUM($CO$148:$CO$149) &lt;= 3,AND(NOT($CO$148&lt;0),NOT($CO$149&lt;0)),NOT(AND($CO$148=0,$CO$149=3)),NOT(AND($CO$148=3,$CO$149=0))))</formula>
    </cfRule>
  </conditionalFormatting>
  <conditionalFormatting sqref="CS148:CS149">
    <cfRule type="cellIs" dxfId="348" priority="18475" stopIfTrue="1" operator="equal">
      <formula>2</formula>
    </cfRule>
  </conditionalFormatting>
  <conditionalFormatting sqref="CS148">
    <cfRule type="expression" dxfId="347" priority="18474" stopIfTrue="1">
      <formula>$CS$149=2</formula>
    </cfRule>
  </conditionalFormatting>
  <conditionalFormatting sqref="CS149">
    <cfRule type="expression" dxfId="346" priority="18473" stopIfTrue="1">
      <formula>$CS$148=2</formula>
    </cfRule>
  </conditionalFormatting>
  <conditionalFormatting sqref="CS148:CS149">
    <cfRule type="expression" dxfId="345" priority="18468" stopIfTrue="1">
      <formula>NOT(AND(SUM($CS$148:$CS$149) &lt;= 3,AND(NOT($CS$148&lt;0),NOT($CS$149&lt;0)),NOT(AND($CS$148=0,$CS$149=3)),NOT(AND($CS$148=3,$CS$149=0))))</formula>
    </cfRule>
  </conditionalFormatting>
  <conditionalFormatting sqref="CW148:CW149">
    <cfRule type="cellIs" dxfId="344" priority="18471" stopIfTrue="1" operator="equal">
      <formula>2</formula>
    </cfRule>
  </conditionalFormatting>
  <conditionalFormatting sqref="CW148">
    <cfRule type="expression" dxfId="343" priority="18470" stopIfTrue="1">
      <formula>$CW$149=2</formula>
    </cfRule>
  </conditionalFormatting>
  <conditionalFormatting sqref="CW149">
    <cfRule type="expression" dxfId="342" priority="18469" stopIfTrue="1">
      <formula>$CW$148=2</formula>
    </cfRule>
  </conditionalFormatting>
  <conditionalFormatting sqref="CW148:CW149">
    <cfRule type="expression" dxfId="341" priority="18464" stopIfTrue="1">
      <formula>NOT(AND(SUM($CW$148:$CW$149) &lt;= 3,AND(NOT($CW$148&lt;0),NOT($CW$149&lt;0)),NOT(AND($CW$148=0,$CW$149=3)),NOT(AND($CW$148=3,$CW$149=0))))</formula>
    </cfRule>
  </conditionalFormatting>
  <conditionalFormatting sqref="DA148:DA149">
    <cfRule type="cellIs" dxfId="340" priority="18467" stopIfTrue="1" operator="equal">
      <formula>2</formula>
    </cfRule>
  </conditionalFormatting>
  <conditionalFormatting sqref="DA148">
    <cfRule type="expression" dxfId="339" priority="18466" stopIfTrue="1">
      <formula>$DA$149=2</formula>
    </cfRule>
  </conditionalFormatting>
  <conditionalFormatting sqref="DA149">
    <cfRule type="expression" dxfId="338" priority="18465" stopIfTrue="1">
      <formula>$DA$148=2</formula>
    </cfRule>
  </conditionalFormatting>
  <conditionalFormatting sqref="DA148:DA149">
    <cfRule type="expression" dxfId="337" priority="18460" stopIfTrue="1">
      <formula>NOT(AND(SUM($DA$148:$DA$149) &lt;= 3,AND(NOT($DA$148&lt;0),NOT($DA$149&lt;0)),NOT(AND($DA$148=0,$DA$149=3)),NOT(AND($DA$148=3,$DA$149=0))))</formula>
    </cfRule>
  </conditionalFormatting>
  <conditionalFormatting sqref="DE148:DE149">
    <cfRule type="cellIs" dxfId="336" priority="18463" stopIfTrue="1" operator="equal">
      <formula>2</formula>
    </cfRule>
  </conditionalFormatting>
  <conditionalFormatting sqref="DE148">
    <cfRule type="expression" dxfId="335" priority="18462" stopIfTrue="1">
      <formula>$DE$149=2</formula>
    </cfRule>
  </conditionalFormatting>
  <conditionalFormatting sqref="DE149">
    <cfRule type="expression" dxfId="334" priority="18461" stopIfTrue="1">
      <formula>$DE$148=2</formula>
    </cfRule>
  </conditionalFormatting>
  <conditionalFormatting sqref="DE148:DE149">
    <cfRule type="expression" dxfId="333" priority="18456" stopIfTrue="1">
      <formula>NOT(AND(SUM($DE$148:$DE$149) &lt;= 3,AND(NOT($DE$148&lt;0),NOT($DE$149&lt;0)),NOT(AND($DE$148=0,$DE$149=3)),NOT(AND($DE$148=3,$DE$149=0))))</formula>
    </cfRule>
  </conditionalFormatting>
  <conditionalFormatting sqref="DI148:DI149">
    <cfRule type="cellIs" dxfId="332" priority="18459" stopIfTrue="1" operator="equal">
      <formula>2</formula>
    </cfRule>
  </conditionalFormatting>
  <conditionalFormatting sqref="DI148">
    <cfRule type="expression" dxfId="331" priority="18458" stopIfTrue="1">
      <formula>$DI$149=2</formula>
    </cfRule>
  </conditionalFormatting>
  <conditionalFormatting sqref="DI149">
    <cfRule type="expression" dxfId="330" priority="18457" stopIfTrue="1">
      <formula>$DI$148=2</formula>
    </cfRule>
  </conditionalFormatting>
  <conditionalFormatting sqref="DI148:DI149">
    <cfRule type="expression" dxfId="329" priority="18452" stopIfTrue="1">
      <formula>NOT(AND(SUM($DI$148:$DI$149) &lt;= 3,AND(NOT($DI$148&lt;0),NOT($DI$149&lt;0)),NOT(AND($DI$148=0,$DI$149=3)),NOT(AND($DI$148=3,$DI$149=0))))</formula>
    </cfRule>
  </conditionalFormatting>
  <conditionalFormatting sqref="DM148:DM149">
    <cfRule type="cellIs" dxfId="328" priority="18455" stopIfTrue="1" operator="equal">
      <formula>2</formula>
    </cfRule>
  </conditionalFormatting>
  <conditionalFormatting sqref="DM148">
    <cfRule type="expression" dxfId="327" priority="18454" stopIfTrue="1">
      <formula>$DM$149=2</formula>
    </cfRule>
  </conditionalFormatting>
  <conditionalFormatting sqref="DM149">
    <cfRule type="expression" dxfId="326" priority="18453" stopIfTrue="1">
      <formula>$DM$148=2</formula>
    </cfRule>
  </conditionalFormatting>
  <conditionalFormatting sqref="DM148:DM149">
    <cfRule type="expression" dxfId="325" priority="18448" stopIfTrue="1">
      <formula>NOT(AND(SUM($DM$148:$DM$149) &lt;= 3,AND(NOT($DM$148&lt;0),NOT($DM$149&lt;0)),NOT(AND($DM$148=0,$DM$149=3)),NOT(AND($DM$148=3,$DM$149=0))))</formula>
    </cfRule>
  </conditionalFormatting>
  <conditionalFormatting sqref="DQ148:DQ149">
    <cfRule type="cellIs" dxfId="324" priority="18451" stopIfTrue="1" operator="equal">
      <formula>2</formula>
    </cfRule>
  </conditionalFormatting>
  <conditionalFormatting sqref="DQ148">
    <cfRule type="expression" dxfId="323" priority="18450" stopIfTrue="1">
      <formula>$DQ$149=2</formula>
    </cfRule>
  </conditionalFormatting>
  <conditionalFormatting sqref="DQ149">
    <cfRule type="expression" dxfId="322" priority="18449" stopIfTrue="1">
      <formula>$DQ$148=2</formula>
    </cfRule>
  </conditionalFormatting>
  <conditionalFormatting sqref="DQ148:DQ149">
    <cfRule type="expression" dxfId="321" priority="18444" stopIfTrue="1">
      <formula>NOT(AND(SUM($DQ$148:$DQ$149) &lt;= 3,AND(NOT($DQ$148&lt;0),NOT($DQ$149&lt;0)),NOT(AND($DQ$148=0,$DQ$149=3)),NOT(AND($DQ$148=3,$DQ$149=0))))</formula>
    </cfRule>
  </conditionalFormatting>
  <conditionalFormatting sqref="DU148:DU149">
    <cfRule type="cellIs" dxfId="320" priority="18447" stopIfTrue="1" operator="equal">
      <formula>2</formula>
    </cfRule>
  </conditionalFormatting>
  <conditionalFormatting sqref="DU148">
    <cfRule type="expression" dxfId="319" priority="18446" stopIfTrue="1">
      <formula>$DU$149=2</formula>
    </cfRule>
  </conditionalFormatting>
  <conditionalFormatting sqref="DU149">
    <cfRule type="expression" dxfId="318" priority="18445" stopIfTrue="1">
      <formula>$DU$148=2</formula>
    </cfRule>
  </conditionalFormatting>
  <conditionalFormatting sqref="DU148:DU149">
    <cfRule type="expression" dxfId="317" priority="18440" stopIfTrue="1">
      <formula>NOT(AND(SUM($DU$148:$DU$149) &lt;= 3,AND(NOT($DU$148&lt;0),NOT($DU$149&lt;0)),NOT(AND($DU$148=0,$DU$149=3)),NOT(AND($DU$148=3,$DU$149=0))))</formula>
    </cfRule>
  </conditionalFormatting>
  <conditionalFormatting sqref="DY148:DY149">
    <cfRule type="cellIs" dxfId="316" priority="18443" stopIfTrue="1" operator="equal">
      <formula>2</formula>
    </cfRule>
  </conditionalFormatting>
  <conditionalFormatting sqref="DY148">
    <cfRule type="expression" dxfId="315" priority="18442" stopIfTrue="1">
      <formula>$DY$149=2</formula>
    </cfRule>
  </conditionalFormatting>
  <conditionalFormatting sqref="DY149">
    <cfRule type="expression" dxfId="314" priority="18441" stopIfTrue="1">
      <formula>$DY$148=2</formula>
    </cfRule>
  </conditionalFormatting>
  <conditionalFormatting sqref="DY148:DY149">
    <cfRule type="expression" dxfId="313" priority="18436" stopIfTrue="1">
      <formula>NOT(AND(SUM($DY$148:$DY$149) &lt;= 3,AND(NOT($DY$148&lt;0),NOT($DY$149&lt;0)),NOT(AND($DY$148=0,$DY$149=3)),NOT(AND($DY$148=3,$DY$149=0))))</formula>
    </cfRule>
  </conditionalFormatting>
  <conditionalFormatting sqref="EC148:EC149">
    <cfRule type="cellIs" dxfId="312" priority="18439" stopIfTrue="1" operator="equal">
      <formula>2</formula>
    </cfRule>
  </conditionalFormatting>
  <conditionalFormatting sqref="EC148">
    <cfRule type="expression" dxfId="311" priority="18438" stopIfTrue="1">
      <formula>$EC$149=2</formula>
    </cfRule>
  </conditionalFormatting>
  <conditionalFormatting sqref="EC149">
    <cfRule type="expression" dxfId="310" priority="18437" stopIfTrue="1">
      <formula>$EC$148=2</formula>
    </cfRule>
  </conditionalFormatting>
  <conditionalFormatting sqref="EC148:EC149">
    <cfRule type="expression" dxfId="309" priority="18432" stopIfTrue="1">
      <formula>NOT(AND(SUM($EC$148:$EC$149) &lt;= 3,AND(NOT($EC$148&lt;0),NOT($EC$149&lt;0)),NOT(AND($EC$148=0,$EC$149=3)),NOT(AND($EC$148=3,$EC$149=0))))</formula>
    </cfRule>
  </conditionalFormatting>
  <conditionalFormatting sqref="EG148:EG149">
    <cfRule type="cellIs" dxfId="308" priority="18435" stopIfTrue="1" operator="equal">
      <formula>2</formula>
    </cfRule>
  </conditionalFormatting>
  <conditionalFormatting sqref="EG148">
    <cfRule type="expression" dxfId="307" priority="18434" stopIfTrue="1">
      <formula>$EG$149=2</formula>
    </cfRule>
  </conditionalFormatting>
  <conditionalFormatting sqref="EG149">
    <cfRule type="expression" dxfId="306" priority="18433" stopIfTrue="1">
      <formula>$EG$148=2</formula>
    </cfRule>
  </conditionalFormatting>
  <conditionalFormatting sqref="EG148:EG149">
    <cfRule type="expression" dxfId="305" priority="18428" stopIfTrue="1">
      <formula>NOT(AND(SUM($EG$148:$EG$149) &lt;= 3,AND(NOT($EG$148&lt;0),NOT($EG$149&lt;0)),NOT(AND($EG$148=0,$EG$149=3)),NOT(AND($EG$148=3,$EG$149=0))))</formula>
    </cfRule>
  </conditionalFormatting>
  <conditionalFormatting sqref="EK148:EK149">
    <cfRule type="cellIs" dxfId="304" priority="18431" stopIfTrue="1" operator="equal">
      <formula>2</formula>
    </cfRule>
  </conditionalFormatting>
  <conditionalFormatting sqref="EK148">
    <cfRule type="expression" dxfId="303" priority="18430" stopIfTrue="1">
      <formula>$EK$149=2</formula>
    </cfRule>
  </conditionalFormatting>
  <conditionalFormatting sqref="EK149">
    <cfRule type="expression" dxfId="302" priority="18429" stopIfTrue="1">
      <formula>$EK$148=2</formula>
    </cfRule>
  </conditionalFormatting>
  <conditionalFormatting sqref="EK148:EK149">
    <cfRule type="expression" dxfId="301" priority="18424" stopIfTrue="1">
      <formula>NOT(AND(SUM($EK$148:$EK$149) &lt;= 3,AND(NOT($EK$148&lt;0),NOT($EK$149&lt;0)),NOT(AND($EK$148=0,$EK$149=3)),NOT(AND($EK$148=3,$EK$149=0))))</formula>
    </cfRule>
  </conditionalFormatting>
  <conditionalFormatting sqref="EO148:EO149">
    <cfRule type="cellIs" dxfId="300" priority="18427" stopIfTrue="1" operator="equal">
      <formula>2</formula>
    </cfRule>
  </conditionalFormatting>
  <conditionalFormatting sqref="EO148">
    <cfRule type="expression" dxfId="299" priority="18426" stopIfTrue="1">
      <formula>$EO$149=2</formula>
    </cfRule>
  </conditionalFormatting>
  <conditionalFormatting sqref="EO149">
    <cfRule type="expression" dxfId="298" priority="18425" stopIfTrue="1">
      <formula>$EO$148=2</formula>
    </cfRule>
  </conditionalFormatting>
  <conditionalFormatting sqref="EO148:EO149">
    <cfRule type="expression" dxfId="297" priority="18420" stopIfTrue="1">
      <formula>NOT(AND(SUM($EO$148:$EO$149) &lt;= 3,AND(NOT($EO$148&lt;0),NOT($EO$149&lt;0)),NOT(AND($EO$148=0,$EO$149=3)),NOT(AND($EO$148=3,$EO$149=0))))</formula>
    </cfRule>
  </conditionalFormatting>
  <conditionalFormatting sqref="ES148:ES149">
    <cfRule type="cellIs" dxfId="296" priority="18423" stopIfTrue="1" operator="equal">
      <formula>2</formula>
    </cfRule>
  </conditionalFormatting>
  <conditionalFormatting sqref="ES148">
    <cfRule type="expression" dxfId="295" priority="18422" stopIfTrue="1">
      <formula>$ES$149=2</formula>
    </cfRule>
  </conditionalFormatting>
  <conditionalFormatting sqref="ES149">
    <cfRule type="expression" dxfId="294" priority="18421" stopIfTrue="1">
      <formula>$ES$148=2</formula>
    </cfRule>
  </conditionalFormatting>
  <conditionalFormatting sqref="ES148:ES149">
    <cfRule type="expression" dxfId="293" priority="18416" stopIfTrue="1">
      <formula>NOT(AND(SUM($ES$148:$ES$149) &lt;= 3,AND(NOT($ES$148&lt;0),NOT($ES$149&lt;0)),NOT(AND($ES$148=0,$ES$149=3)),NOT(AND($ES$148=3,$ES$149=0))))</formula>
    </cfRule>
  </conditionalFormatting>
  <conditionalFormatting sqref="EW148:EW149">
    <cfRule type="cellIs" dxfId="292" priority="18419" stopIfTrue="1" operator="equal">
      <formula>2</formula>
    </cfRule>
  </conditionalFormatting>
  <conditionalFormatting sqref="EW148">
    <cfRule type="expression" dxfId="291" priority="18418" stopIfTrue="1">
      <formula>$EW$149=2</formula>
    </cfRule>
  </conditionalFormatting>
  <conditionalFormatting sqref="EW149">
    <cfRule type="expression" dxfId="290" priority="18417" stopIfTrue="1">
      <formula>$EW$148=2</formula>
    </cfRule>
  </conditionalFormatting>
  <conditionalFormatting sqref="EW148:EW149">
    <cfRule type="expression" dxfId="289" priority="18412" stopIfTrue="1">
      <formula>NOT(AND(SUM($EW$148:$EW$149) &lt;= 3,AND(NOT($EW$148&lt;0),NOT($EW$149&lt;0)),NOT(AND($EW$148=0,$EW$149=3)),NOT(AND($EW$148=3,$EW$149=0))))</formula>
    </cfRule>
  </conditionalFormatting>
  <conditionalFormatting sqref="FA148:FA149">
    <cfRule type="cellIs" dxfId="288" priority="18415" stopIfTrue="1" operator="equal">
      <formula>2</formula>
    </cfRule>
  </conditionalFormatting>
  <conditionalFormatting sqref="FA148">
    <cfRule type="expression" dxfId="287" priority="18414" stopIfTrue="1">
      <formula>$FA$149=2</formula>
    </cfRule>
  </conditionalFormatting>
  <conditionalFormatting sqref="FA149">
    <cfRule type="expression" dxfId="286" priority="18413" stopIfTrue="1">
      <formula>$FA$148=2</formula>
    </cfRule>
  </conditionalFormatting>
  <conditionalFormatting sqref="FA148:FA149">
    <cfRule type="expression" dxfId="285" priority="18408" stopIfTrue="1">
      <formula>NOT(AND(SUM($FA$148:$FA$149) &lt;= 3,AND(NOT($FA$148&lt;0),NOT($FA$149&lt;0)),NOT(AND($FA$148=0,$FA$149=3)),NOT(AND($FA$148=3,$FA$149=0))))</formula>
    </cfRule>
  </conditionalFormatting>
  <conditionalFormatting sqref="FE148:FE149">
    <cfRule type="cellIs" dxfId="284" priority="18411" stopIfTrue="1" operator="equal">
      <formula>2</formula>
    </cfRule>
  </conditionalFormatting>
  <conditionalFormatting sqref="FE148">
    <cfRule type="expression" dxfId="283" priority="18410" stopIfTrue="1">
      <formula>$FE$149=2</formula>
    </cfRule>
  </conditionalFormatting>
  <conditionalFormatting sqref="FE149">
    <cfRule type="expression" dxfId="282" priority="18409" stopIfTrue="1">
      <formula>$FE$148=2</formula>
    </cfRule>
  </conditionalFormatting>
  <conditionalFormatting sqref="FE148:FE149">
    <cfRule type="expression" dxfId="281" priority="18404" stopIfTrue="1">
      <formula>NOT(AND(SUM($FE$148:$FE$149) &lt;= 3,AND(NOT($FE$148&lt;0),NOT($FE$149&lt;0)),NOT(AND($FE$148=0,$FE$149=3)),NOT(AND($FE$148=3,$FE$149=0))))</formula>
    </cfRule>
  </conditionalFormatting>
  <conditionalFormatting sqref="FI148:FI149">
    <cfRule type="cellIs" dxfId="280" priority="18407" stopIfTrue="1" operator="equal">
      <formula>2</formula>
    </cfRule>
  </conditionalFormatting>
  <conditionalFormatting sqref="FI148">
    <cfRule type="expression" dxfId="279" priority="18406" stopIfTrue="1">
      <formula>$FI$149=2</formula>
    </cfRule>
  </conditionalFormatting>
  <conditionalFormatting sqref="FI149">
    <cfRule type="expression" dxfId="278" priority="18405" stopIfTrue="1">
      <formula>$FI$148=2</formula>
    </cfRule>
  </conditionalFormatting>
  <conditionalFormatting sqref="FI148:FI149">
    <cfRule type="expression" dxfId="277" priority="18400" stopIfTrue="1">
      <formula>NOT(AND(SUM($FI$148:$FI$149) &lt;= 3,AND(NOT($FI$148&lt;0),NOT($FI$149&lt;0)),NOT(AND($FI$148=0,$FI$149=3)),NOT(AND($FI$148=3,$FI$149=0))))</formula>
    </cfRule>
  </conditionalFormatting>
  <conditionalFormatting sqref="FM148:FM149">
    <cfRule type="cellIs" dxfId="276" priority="18403" stopIfTrue="1" operator="equal">
      <formula>2</formula>
    </cfRule>
  </conditionalFormatting>
  <conditionalFormatting sqref="FM148">
    <cfRule type="expression" dxfId="275" priority="18402" stopIfTrue="1">
      <formula>$FM$149=2</formula>
    </cfRule>
  </conditionalFormatting>
  <conditionalFormatting sqref="FM149">
    <cfRule type="expression" dxfId="274" priority="18401" stopIfTrue="1">
      <formula>$FM$148=2</formula>
    </cfRule>
  </conditionalFormatting>
  <conditionalFormatting sqref="FM148:FM149">
    <cfRule type="expression" dxfId="273" priority="18396" stopIfTrue="1">
      <formula>NOT(AND(SUM($FM$148:$FM$149) &lt;= 3,AND(NOT($FM$148&lt;0),NOT($FM$149&lt;0)),NOT(AND($FM$148=0,$FM$149=3)),NOT(AND($FM$148=3,$FM$149=0))))</formula>
    </cfRule>
  </conditionalFormatting>
  <conditionalFormatting sqref="CO152:CO153">
    <cfRule type="cellIs" dxfId="272" priority="18399" stopIfTrue="1" operator="equal">
      <formula>2</formula>
    </cfRule>
  </conditionalFormatting>
  <conditionalFormatting sqref="CO152">
    <cfRule type="expression" dxfId="271" priority="18398" stopIfTrue="1">
      <formula>$CO$153=2</formula>
    </cfRule>
  </conditionalFormatting>
  <conditionalFormatting sqref="CO153">
    <cfRule type="expression" dxfId="270" priority="18397" stopIfTrue="1">
      <formula>$CO$152=2</formula>
    </cfRule>
  </conditionalFormatting>
  <conditionalFormatting sqref="CO152:CO153">
    <cfRule type="expression" dxfId="269" priority="18392" stopIfTrue="1">
      <formula>NOT(AND(SUM($CO$152:$CO$153) &lt;= 3,AND(NOT($CO$152&lt;0),NOT($CO$153&lt;0)),NOT(AND($CO$152=0,$CO$153=3)),NOT(AND($CO$152=3,$CO$153=0))))</formula>
    </cfRule>
  </conditionalFormatting>
  <conditionalFormatting sqref="CS152:CS153">
    <cfRule type="cellIs" dxfId="268" priority="18395" stopIfTrue="1" operator="equal">
      <formula>2</formula>
    </cfRule>
  </conditionalFormatting>
  <conditionalFormatting sqref="CS152">
    <cfRule type="expression" dxfId="267" priority="18394" stopIfTrue="1">
      <formula>$CS$153=2</formula>
    </cfRule>
  </conditionalFormatting>
  <conditionalFormatting sqref="CS153">
    <cfRule type="expression" dxfId="266" priority="18393" stopIfTrue="1">
      <formula>$CS$152=2</formula>
    </cfRule>
  </conditionalFormatting>
  <conditionalFormatting sqref="CS152:CS153">
    <cfRule type="expression" dxfId="265" priority="18388" stopIfTrue="1">
      <formula>NOT(AND(SUM($CS$152:$CS$153) &lt;= 3,AND(NOT($CS$152&lt;0),NOT($CS$153&lt;0)),NOT(AND($CS$152=0,$CS$153=3)),NOT(AND($CS$152=3,$CS$153=0))))</formula>
    </cfRule>
  </conditionalFormatting>
  <conditionalFormatting sqref="CW152:CW153">
    <cfRule type="cellIs" dxfId="264" priority="18391" stopIfTrue="1" operator="equal">
      <formula>2</formula>
    </cfRule>
  </conditionalFormatting>
  <conditionalFormatting sqref="CW152">
    <cfRule type="expression" dxfId="263" priority="18390" stopIfTrue="1">
      <formula>$CW$153=2</formula>
    </cfRule>
  </conditionalFormatting>
  <conditionalFormatting sqref="CW153">
    <cfRule type="expression" dxfId="262" priority="18389" stopIfTrue="1">
      <formula>$CW$152=2</formula>
    </cfRule>
  </conditionalFormatting>
  <conditionalFormatting sqref="CW152:CW153">
    <cfRule type="expression" dxfId="261" priority="18384" stopIfTrue="1">
      <formula>NOT(AND(SUM($CW$152:$CW$153) &lt;= 3,AND(NOT($CW$152&lt;0),NOT($CW$153&lt;0)),NOT(AND($CW$152=0,$CW$153=3)),NOT(AND($CW$152=3,$CW$153=0))))</formula>
    </cfRule>
  </conditionalFormatting>
  <conditionalFormatting sqref="DA152:DA153">
    <cfRule type="cellIs" dxfId="260" priority="18387" stopIfTrue="1" operator="equal">
      <formula>2</formula>
    </cfRule>
  </conditionalFormatting>
  <conditionalFormatting sqref="DA152">
    <cfRule type="expression" dxfId="259" priority="18386" stopIfTrue="1">
      <formula>$DA$153=2</formula>
    </cfRule>
  </conditionalFormatting>
  <conditionalFormatting sqref="DA153">
    <cfRule type="expression" dxfId="258" priority="18385" stopIfTrue="1">
      <formula>$DA$152=2</formula>
    </cfRule>
  </conditionalFormatting>
  <conditionalFormatting sqref="DA152:DA153">
    <cfRule type="expression" dxfId="257" priority="18380" stopIfTrue="1">
      <formula>NOT(AND(SUM($DA$152:$DA$153) &lt;= 3,AND(NOT($DA$152&lt;0),NOT($DA$153&lt;0)),NOT(AND($DA$152=0,$DA$153=3)),NOT(AND($DA$152=3,$DA$153=0))))</formula>
    </cfRule>
  </conditionalFormatting>
  <conditionalFormatting sqref="DE152:DE153">
    <cfRule type="cellIs" dxfId="256" priority="18383" stopIfTrue="1" operator="equal">
      <formula>2</formula>
    </cfRule>
  </conditionalFormatting>
  <conditionalFormatting sqref="DE152">
    <cfRule type="expression" dxfId="255" priority="18382" stopIfTrue="1">
      <formula>$DE$153=2</formula>
    </cfRule>
  </conditionalFormatting>
  <conditionalFormatting sqref="DE153">
    <cfRule type="expression" dxfId="254" priority="18381" stopIfTrue="1">
      <formula>$DE$152=2</formula>
    </cfRule>
  </conditionalFormatting>
  <conditionalFormatting sqref="DE152:DE153">
    <cfRule type="expression" dxfId="253" priority="18376" stopIfTrue="1">
      <formula>NOT(AND(SUM($DE$152:$DE$153) &lt;= 3,AND(NOT($DE$152&lt;0),NOT($DE$153&lt;0)),NOT(AND($DE$152=0,$DE$153=3)),NOT(AND($DE$152=3,$DE$153=0))))</formula>
    </cfRule>
  </conditionalFormatting>
  <conditionalFormatting sqref="DI152:DI153">
    <cfRule type="cellIs" dxfId="252" priority="18379" stopIfTrue="1" operator="equal">
      <formula>2</formula>
    </cfRule>
  </conditionalFormatting>
  <conditionalFormatting sqref="DI152">
    <cfRule type="expression" dxfId="251" priority="18378" stopIfTrue="1">
      <formula>$DI$153=2</formula>
    </cfRule>
  </conditionalFormatting>
  <conditionalFormatting sqref="DI153">
    <cfRule type="expression" dxfId="250" priority="18377" stopIfTrue="1">
      <formula>$DI$152=2</formula>
    </cfRule>
  </conditionalFormatting>
  <conditionalFormatting sqref="DI152:DI153">
    <cfRule type="expression" dxfId="249" priority="18372" stopIfTrue="1">
      <formula>NOT(AND(SUM($DI$152:$DI$153) &lt;= 3,AND(NOT($DI$152&lt;0),NOT($DI$153&lt;0)),NOT(AND($DI$152=0,$DI$153=3)),NOT(AND($DI$152=3,$DI$153=0))))</formula>
    </cfRule>
  </conditionalFormatting>
  <conditionalFormatting sqref="DM152:DM153">
    <cfRule type="cellIs" dxfId="248" priority="18375" stopIfTrue="1" operator="equal">
      <formula>2</formula>
    </cfRule>
  </conditionalFormatting>
  <conditionalFormatting sqref="DM152">
    <cfRule type="expression" dxfId="247" priority="18374" stopIfTrue="1">
      <formula>$DM$153=2</formula>
    </cfRule>
  </conditionalFormatting>
  <conditionalFormatting sqref="DM153">
    <cfRule type="expression" dxfId="246" priority="18373" stopIfTrue="1">
      <formula>$DM$152=2</formula>
    </cfRule>
  </conditionalFormatting>
  <conditionalFormatting sqref="DM152:DM153">
    <cfRule type="expression" dxfId="245" priority="18368" stopIfTrue="1">
      <formula>NOT(AND(SUM($DM$152:$DM$153) &lt;= 3,AND(NOT($DM$152&lt;0),NOT($DM$153&lt;0)),NOT(AND($DM$152=0,$DM$153=3)),NOT(AND($DM$152=3,$DM$153=0))))</formula>
    </cfRule>
  </conditionalFormatting>
  <conditionalFormatting sqref="DQ152:DQ153">
    <cfRule type="cellIs" dxfId="244" priority="18371" stopIfTrue="1" operator="equal">
      <formula>2</formula>
    </cfRule>
  </conditionalFormatting>
  <conditionalFormatting sqref="DQ152">
    <cfRule type="expression" dxfId="243" priority="18370" stopIfTrue="1">
      <formula>$DQ$153=2</formula>
    </cfRule>
  </conditionalFormatting>
  <conditionalFormatting sqref="DQ153">
    <cfRule type="expression" dxfId="242" priority="18369" stopIfTrue="1">
      <formula>$DQ$152=2</formula>
    </cfRule>
  </conditionalFormatting>
  <conditionalFormatting sqref="DQ152:DQ153">
    <cfRule type="expression" dxfId="241" priority="18364" stopIfTrue="1">
      <formula>NOT(AND(SUM($DQ$152:$DQ$153) &lt;= 3,AND(NOT($DQ$152&lt;0),NOT($DQ$153&lt;0)),NOT(AND($DQ$152=0,$DQ$153=3)),NOT(AND($DQ$152=3,$DQ$153=0))))</formula>
    </cfRule>
  </conditionalFormatting>
  <conditionalFormatting sqref="DU152:DU153">
    <cfRule type="cellIs" dxfId="240" priority="18367" stopIfTrue="1" operator="equal">
      <formula>2</formula>
    </cfRule>
  </conditionalFormatting>
  <conditionalFormatting sqref="DU152">
    <cfRule type="expression" dxfId="239" priority="18366" stopIfTrue="1">
      <formula>$DU$153=2</formula>
    </cfRule>
  </conditionalFormatting>
  <conditionalFormatting sqref="DU153">
    <cfRule type="expression" dxfId="238" priority="18365" stopIfTrue="1">
      <formula>$DU$152=2</formula>
    </cfRule>
  </conditionalFormatting>
  <conditionalFormatting sqref="DU152:DU153">
    <cfRule type="expression" dxfId="237" priority="18360" stopIfTrue="1">
      <formula>NOT(AND(SUM($DU$152:$DU$153) &lt;= 3,AND(NOT($DU$152&lt;0),NOT($DU$153&lt;0)),NOT(AND($DU$152=0,$DU$153=3)),NOT(AND($DU$152=3,$DU$153=0))))</formula>
    </cfRule>
  </conditionalFormatting>
  <conditionalFormatting sqref="DY152:DY153">
    <cfRule type="cellIs" dxfId="236" priority="18363" stopIfTrue="1" operator="equal">
      <formula>2</formula>
    </cfRule>
  </conditionalFormatting>
  <conditionalFormatting sqref="DY152">
    <cfRule type="expression" dxfId="235" priority="18362" stopIfTrue="1">
      <formula>$DY$153=2</formula>
    </cfRule>
  </conditionalFormatting>
  <conditionalFormatting sqref="DY153">
    <cfRule type="expression" dxfId="234" priority="18361" stopIfTrue="1">
      <formula>$DY$152=2</formula>
    </cfRule>
  </conditionalFormatting>
  <conditionalFormatting sqref="DY152:DY153">
    <cfRule type="expression" dxfId="233" priority="18356" stopIfTrue="1">
      <formula>NOT(AND(SUM($DY$152:$DY$153) &lt;= 3,AND(NOT($DY$152&lt;0),NOT($DY$153&lt;0)),NOT(AND($DY$152=0,$DY$153=3)),NOT(AND($DY$152=3,$DY$153=0))))</formula>
    </cfRule>
  </conditionalFormatting>
  <conditionalFormatting sqref="EC152:EC153">
    <cfRule type="cellIs" dxfId="232" priority="18359" stopIfTrue="1" operator="equal">
      <formula>2</formula>
    </cfRule>
  </conditionalFormatting>
  <conditionalFormatting sqref="EC152">
    <cfRule type="expression" dxfId="231" priority="18358" stopIfTrue="1">
      <formula>$EC$153=2</formula>
    </cfRule>
  </conditionalFormatting>
  <conditionalFormatting sqref="EC153">
    <cfRule type="expression" dxfId="230" priority="18357" stopIfTrue="1">
      <formula>$EC$152=2</formula>
    </cfRule>
  </conditionalFormatting>
  <conditionalFormatting sqref="EC152:EC153">
    <cfRule type="expression" dxfId="229" priority="18352" stopIfTrue="1">
      <formula>NOT(AND(SUM($EC$152:$EC$153) &lt;= 3,AND(NOT($EC$152&lt;0),NOT($EC$153&lt;0)),NOT(AND($EC$152=0,$EC$153=3)),NOT(AND($EC$152=3,$EC$153=0))))</formula>
    </cfRule>
  </conditionalFormatting>
  <conditionalFormatting sqref="EG152:EG153">
    <cfRule type="cellIs" dxfId="228" priority="18355" stopIfTrue="1" operator="equal">
      <formula>2</formula>
    </cfRule>
  </conditionalFormatting>
  <conditionalFormatting sqref="EG152">
    <cfRule type="expression" dxfId="227" priority="18354" stopIfTrue="1">
      <formula>$EG$153=2</formula>
    </cfRule>
  </conditionalFormatting>
  <conditionalFormatting sqref="EG153">
    <cfRule type="expression" dxfId="226" priority="18353" stopIfTrue="1">
      <formula>$EG$152=2</formula>
    </cfRule>
  </conditionalFormatting>
  <conditionalFormatting sqref="EG152:EG153">
    <cfRule type="expression" dxfId="225" priority="18348" stopIfTrue="1">
      <formula>NOT(AND(SUM($EG$152:$EG$153) &lt;= 3,AND(NOT($EG$152&lt;0),NOT($EG$153&lt;0)),NOT(AND($EG$152=0,$EG$153=3)),NOT(AND($EG$152=3,$EG$153=0))))</formula>
    </cfRule>
  </conditionalFormatting>
  <conditionalFormatting sqref="EK152:EK153">
    <cfRule type="cellIs" dxfId="224" priority="18351" stopIfTrue="1" operator="equal">
      <formula>2</formula>
    </cfRule>
  </conditionalFormatting>
  <conditionalFormatting sqref="EK152">
    <cfRule type="expression" dxfId="223" priority="18350" stopIfTrue="1">
      <formula>$EK$153=2</formula>
    </cfRule>
  </conditionalFormatting>
  <conditionalFormatting sqref="EK153">
    <cfRule type="expression" dxfId="222" priority="18349" stopIfTrue="1">
      <formula>$EK$152=2</formula>
    </cfRule>
  </conditionalFormatting>
  <conditionalFormatting sqref="EK152:EK153">
    <cfRule type="expression" dxfId="221" priority="18344" stopIfTrue="1">
      <formula>NOT(AND(SUM($EK$152:$EK$153) &lt;= 3,AND(NOT($EK$152&lt;0),NOT($EK$153&lt;0)),NOT(AND($EK$152=0,$EK$153=3)),NOT(AND($EK$152=3,$EK$153=0))))</formula>
    </cfRule>
  </conditionalFormatting>
  <conditionalFormatting sqref="EO152:EO153">
    <cfRule type="cellIs" dxfId="220" priority="18347" stopIfTrue="1" operator="equal">
      <formula>2</formula>
    </cfRule>
  </conditionalFormatting>
  <conditionalFormatting sqref="EO152">
    <cfRule type="expression" dxfId="219" priority="18346" stopIfTrue="1">
      <formula>$EO$153=2</formula>
    </cfRule>
  </conditionalFormatting>
  <conditionalFormatting sqref="EO153">
    <cfRule type="expression" dxfId="218" priority="18345" stopIfTrue="1">
      <formula>$EO$152=2</formula>
    </cfRule>
  </conditionalFormatting>
  <conditionalFormatting sqref="EO152:EO153">
    <cfRule type="expression" dxfId="217" priority="18340" stopIfTrue="1">
      <formula>NOT(AND(SUM($EO$152:$EO$153) &lt;= 3,AND(NOT($EO$152&lt;0),NOT($EO$153&lt;0)),NOT(AND($EO$152=0,$EO$153=3)),NOT(AND($EO$152=3,$EO$153=0))))</formula>
    </cfRule>
  </conditionalFormatting>
  <conditionalFormatting sqref="ES152:ES153">
    <cfRule type="cellIs" dxfId="216" priority="18343" stopIfTrue="1" operator="equal">
      <formula>2</formula>
    </cfRule>
  </conditionalFormatting>
  <conditionalFormatting sqref="ES152">
    <cfRule type="expression" dxfId="215" priority="18342" stopIfTrue="1">
      <formula>$ES$153=2</formula>
    </cfRule>
  </conditionalFormatting>
  <conditionalFormatting sqref="ES153">
    <cfRule type="expression" dxfId="214" priority="18341" stopIfTrue="1">
      <formula>$ES$152=2</formula>
    </cfRule>
  </conditionalFormatting>
  <conditionalFormatting sqref="ES152:ES153">
    <cfRule type="expression" dxfId="213" priority="18336" stopIfTrue="1">
      <formula>NOT(AND(SUM($ES$152:$ES$153) &lt;= 3,AND(NOT($ES$152&lt;0),NOT($ES$153&lt;0)),NOT(AND($ES$152=0,$ES$153=3)),NOT(AND($ES$152=3,$ES$153=0))))</formula>
    </cfRule>
  </conditionalFormatting>
  <conditionalFormatting sqref="EW152:EW153">
    <cfRule type="cellIs" dxfId="212" priority="18339" stopIfTrue="1" operator="equal">
      <formula>2</formula>
    </cfRule>
  </conditionalFormatting>
  <conditionalFormatting sqref="EW152">
    <cfRule type="expression" dxfId="211" priority="18338" stopIfTrue="1">
      <formula>$EW$153=2</formula>
    </cfRule>
  </conditionalFormatting>
  <conditionalFormatting sqref="EW153">
    <cfRule type="expression" dxfId="210" priority="18337" stopIfTrue="1">
      <formula>$EW$152=2</formula>
    </cfRule>
  </conditionalFormatting>
  <conditionalFormatting sqref="EW152:EW153">
    <cfRule type="expression" dxfId="209" priority="18332" stopIfTrue="1">
      <formula>NOT(AND(SUM($EW$152:$EW$153) &lt;= 3,AND(NOT($EW$152&lt;0),NOT($EW$153&lt;0)),NOT(AND($EW$152=0,$EW$153=3)),NOT(AND($EW$152=3,$EW$153=0))))</formula>
    </cfRule>
  </conditionalFormatting>
  <conditionalFormatting sqref="FA152:FA153">
    <cfRule type="cellIs" dxfId="208" priority="18335" stopIfTrue="1" operator="equal">
      <formula>2</formula>
    </cfRule>
  </conditionalFormatting>
  <conditionalFormatting sqref="FA152">
    <cfRule type="expression" dxfId="207" priority="18334" stopIfTrue="1">
      <formula>$FA$153=2</formula>
    </cfRule>
  </conditionalFormatting>
  <conditionalFormatting sqref="FA153">
    <cfRule type="expression" dxfId="206" priority="18333" stopIfTrue="1">
      <formula>$FA$152=2</formula>
    </cfRule>
  </conditionalFormatting>
  <conditionalFormatting sqref="FA152:FA153">
    <cfRule type="expression" dxfId="205" priority="18328" stopIfTrue="1">
      <formula>NOT(AND(SUM($FA$152:$FA$153) &lt;= 3,AND(NOT($FA$152&lt;0),NOT($FA$153&lt;0)),NOT(AND($FA$152=0,$FA$153=3)),NOT(AND($FA$152=3,$FA$153=0))))</formula>
    </cfRule>
  </conditionalFormatting>
  <conditionalFormatting sqref="FE152:FE153">
    <cfRule type="cellIs" dxfId="204" priority="18331" stopIfTrue="1" operator="equal">
      <formula>2</formula>
    </cfRule>
  </conditionalFormatting>
  <conditionalFormatting sqref="FE152">
    <cfRule type="expression" dxfId="203" priority="18330" stopIfTrue="1">
      <formula>$FE$153=2</formula>
    </cfRule>
  </conditionalFormatting>
  <conditionalFormatting sqref="FE153">
    <cfRule type="expression" dxfId="202" priority="18329" stopIfTrue="1">
      <formula>$FE$152=2</formula>
    </cfRule>
  </conditionalFormatting>
  <conditionalFormatting sqref="FE152:FE153">
    <cfRule type="expression" dxfId="201" priority="18324" stopIfTrue="1">
      <formula>NOT(AND(SUM($FE$152:$FE$153) &lt;= 3,AND(NOT($FE$152&lt;0),NOT($FE$153&lt;0)),NOT(AND($FE$152=0,$FE$153=3)),NOT(AND($FE$152=3,$FE$153=0))))</formula>
    </cfRule>
  </conditionalFormatting>
  <conditionalFormatting sqref="FI152:FI153">
    <cfRule type="cellIs" dxfId="200" priority="18327" stopIfTrue="1" operator="equal">
      <formula>2</formula>
    </cfRule>
  </conditionalFormatting>
  <conditionalFormatting sqref="FI152">
    <cfRule type="expression" dxfId="199" priority="18326" stopIfTrue="1">
      <formula>$FI$153=2</formula>
    </cfRule>
  </conditionalFormatting>
  <conditionalFormatting sqref="FI153">
    <cfRule type="expression" dxfId="198" priority="18325" stopIfTrue="1">
      <formula>$FI$152=2</formula>
    </cfRule>
  </conditionalFormatting>
  <conditionalFormatting sqref="FI152:FI153">
    <cfRule type="expression" dxfId="197" priority="18320" stopIfTrue="1">
      <formula>NOT(AND(SUM($FI$152:$FI$153) &lt;= 3,AND(NOT($FI$152&lt;0),NOT($FI$153&lt;0)),NOT(AND($FI$152=0,$FI$153=3)),NOT(AND($FI$152=3,$FI$153=0))))</formula>
    </cfRule>
  </conditionalFormatting>
  <conditionalFormatting sqref="FM152:FM153">
    <cfRule type="cellIs" dxfId="196" priority="18323" stopIfTrue="1" operator="equal">
      <formula>2</formula>
    </cfRule>
  </conditionalFormatting>
  <conditionalFormatting sqref="FM152">
    <cfRule type="expression" dxfId="195" priority="18322" stopIfTrue="1">
      <formula>$FM$153=2</formula>
    </cfRule>
  </conditionalFormatting>
  <conditionalFormatting sqref="FM153">
    <cfRule type="expression" dxfId="194" priority="18321" stopIfTrue="1">
      <formula>$FM$152=2</formula>
    </cfRule>
  </conditionalFormatting>
  <conditionalFormatting sqref="FM152:FM153">
    <cfRule type="expression" dxfId="193" priority="18316" stopIfTrue="1">
      <formula>NOT(AND(SUM($FM$152:$FM$153) &lt;= 3,AND(NOT($FM$152&lt;0),NOT($FM$153&lt;0)),NOT(AND($FM$152=0,$FM$153=3)),NOT(AND($FM$152=3,$FM$153=0))))</formula>
    </cfRule>
  </conditionalFormatting>
  <conditionalFormatting sqref="CO156:CO157">
    <cfRule type="cellIs" dxfId="192" priority="18319" stopIfTrue="1" operator="equal">
      <formula>2</formula>
    </cfRule>
  </conditionalFormatting>
  <conditionalFormatting sqref="CO156">
    <cfRule type="expression" dxfId="191" priority="18318" stopIfTrue="1">
      <formula>$CO$157=2</formula>
    </cfRule>
  </conditionalFormatting>
  <conditionalFormatting sqref="CO157">
    <cfRule type="expression" dxfId="190" priority="18317" stopIfTrue="1">
      <formula>$CO$156=2</formula>
    </cfRule>
  </conditionalFormatting>
  <conditionalFormatting sqref="CO156:CO157">
    <cfRule type="expression" dxfId="189" priority="18312" stopIfTrue="1">
      <formula>NOT(AND(SUM($CO$156:$CO$157) &lt;= 3,AND(NOT($CO$156&lt;0),NOT($CO$157&lt;0)),NOT(AND($CO$156=0,$CO$157=3)),NOT(AND($CO$156=3,$CO$157=0))))</formula>
    </cfRule>
  </conditionalFormatting>
  <conditionalFormatting sqref="CS156:CS157">
    <cfRule type="cellIs" dxfId="188" priority="18315" stopIfTrue="1" operator="equal">
      <formula>2</formula>
    </cfRule>
  </conditionalFormatting>
  <conditionalFormatting sqref="CS156">
    <cfRule type="expression" dxfId="187" priority="18314" stopIfTrue="1">
      <formula>$CS$157=2</formula>
    </cfRule>
  </conditionalFormatting>
  <conditionalFormatting sqref="CS157">
    <cfRule type="expression" dxfId="186" priority="18313" stopIfTrue="1">
      <formula>$CS$156=2</formula>
    </cfRule>
  </conditionalFormatting>
  <conditionalFormatting sqref="CS156:CS157">
    <cfRule type="expression" dxfId="185" priority="18308" stopIfTrue="1">
      <formula>NOT(AND(SUM($CS$156:$CS$157) &lt;= 3,AND(NOT($CS$156&lt;0),NOT($CS$157&lt;0)),NOT(AND($CS$156=0,$CS$157=3)),NOT(AND($CS$156=3,$CS$157=0))))</formula>
    </cfRule>
  </conditionalFormatting>
  <conditionalFormatting sqref="CW156:CW157">
    <cfRule type="cellIs" dxfId="184" priority="18311" stopIfTrue="1" operator="equal">
      <formula>2</formula>
    </cfRule>
  </conditionalFormatting>
  <conditionalFormatting sqref="CW156">
    <cfRule type="expression" dxfId="183" priority="18310" stopIfTrue="1">
      <formula>$CW$157=2</formula>
    </cfRule>
  </conditionalFormatting>
  <conditionalFormatting sqref="CW157">
    <cfRule type="expression" dxfId="182" priority="18309" stopIfTrue="1">
      <formula>$CW$156=2</formula>
    </cfRule>
  </conditionalFormatting>
  <conditionalFormatting sqref="CW156:CW157">
    <cfRule type="expression" dxfId="181" priority="18304" stopIfTrue="1">
      <formula>NOT(AND(SUM($CW$156:$CW$157) &lt;= 3,AND(NOT($CW$156&lt;0),NOT($CW$157&lt;0)),NOT(AND($CW$156=0,$CW$157=3)),NOT(AND($CW$156=3,$CW$157=0))))</formula>
    </cfRule>
  </conditionalFormatting>
  <conditionalFormatting sqref="DA156:DA157">
    <cfRule type="cellIs" dxfId="180" priority="18307" stopIfTrue="1" operator="equal">
      <formula>2</formula>
    </cfRule>
  </conditionalFormatting>
  <conditionalFormatting sqref="DA156">
    <cfRule type="expression" dxfId="179" priority="18306" stopIfTrue="1">
      <formula>$DA$157=2</formula>
    </cfRule>
  </conditionalFormatting>
  <conditionalFormatting sqref="DA157">
    <cfRule type="expression" dxfId="178" priority="18305" stopIfTrue="1">
      <formula>$DA$156=2</formula>
    </cfRule>
  </conditionalFormatting>
  <conditionalFormatting sqref="DA156:DA157">
    <cfRule type="expression" dxfId="177" priority="18300" stopIfTrue="1">
      <formula>NOT(AND(SUM($DA$156:$DA$157) &lt;= 3,AND(NOT($DA$156&lt;0),NOT($DA$157&lt;0)),NOT(AND($DA$156=0,$DA$157=3)),NOT(AND($DA$156=3,$DA$157=0))))</formula>
    </cfRule>
  </conditionalFormatting>
  <conditionalFormatting sqref="DE156:DE157">
    <cfRule type="cellIs" dxfId="176" priority="18303" stopIfTrue="1" operator="equal">
      <formula>2</formula>
    </cfRule>
  </conditionalFormatting>
  <conditionalFormatting sqref="DE156">
    <cfRule type="expression" dxfId="175" priority="18302" stopIfTrue="1">
      <formula>$DE$157=2</formula>
    </cfRule>
  </conditionalFormatting>
  <conditionalFormatting sqref="DE157">
    <cfRule type="expression" dxfId="174" priority="18301" stopIfTrue="1">
      <formula>$DE$156=2</formula>
    </cfRule>
  </conditionalFormatting>
  <conditionalFormatting sqref="DE156:DE157">
    <cfRule type="expression" dxfId="173" priority="18296" stopIfTrue="1">
      <formula>NOT(AND(SUM($DE$156:$DE$157) &lt;= 3,AND(NOT($DE$156&lt;0),NOT($DE$157&lt;0)),NOT(AND($DE$156=0,$DE$157=3)),NOT(AND($DE$156=3,$DE$157=0))))</formula>
    </cfRule>
  </conditionalFormatting>
  <conditionalFormatting sqref="DI156:DI157">
    <cfRule type="cellIs" dxfId="172" priority="18299" stopIfTrue="1" operator="equal">
      <formula>2</formula>
    </cfRule>
  </conditionalFormatting>
  <conditionalFormatting sqref="DI156">
    <cfRule type="expression" dxfId="171" priority="18298" stopIfTrue="1">
      <formula>$DI$157=2</formula>
    </cfRule>
  </conditionalFormatting>
  <conditionalFormatting sqref="DI157">
    <cfRule type="expression" dxfId="170" priority="18297" stopIfTrue="1">
      <formula>$DI$156=2</formula>
    </cfRule>
  </conditionalFormatting>
  <conditionalFormatting sqref="DI156:DI157">
    <cfRule type="expression" dxfId="169" priority="18292" stopIfTrue="1">
      <formula>NOT(AND(SUM($DI$156:$DI$157) &lt;= 3,AND(NOT($DI$156&lt;0),NOT($DI$157&lt;0)),NOT(AND($DI$156=0,$DI$157=3)),NOT(AND($DI$156=3,$DI$157=0))))</formula>
    </cfRule>
  </conditionalFormatting>
  <conditionalFormatting sqref="DM156:DM157">
    <cfRule type="cellIs" dxfId="168" priority="18295" stopIfTrue="1" operator="equal">
      <formula>2</formula>
    </cfRule>
  </conditionalFormatting>
  <conditionalFormatting sqref="DM156">
    <cfRule type="expression" dxfId="167" priority="18294" stopIfTrue="1">
      <formula>$DM$157=2</formula>
    </cfRule>
  </conditionalFormatting>
  <conditionalFormatting sqref="DM157">
    <cfRule type="expression" dxfId="166" priority="18293" stopIfTrue="1">
      <formula>$DM$156=2</formula>
    </cfRule>
  </conditionalFormatting>
  <conditionalFormatting sqref="DM156:DM157">
    <cfRule type="expression" dxfId="165" priority="18288" stopIfTrue="1">
      <formula>NOT(AND(SUM($DM$156:$DM$157) &lt;= 3,AND(NOT($DM$156&lt;0),NOT($DM$157&lt;0)),NOT(AND($DM$156=0,$DM$157=3)),NOT(AND($DM$156=3,$DM$157=0))))</formula>
    </cfRule>
  </conditionalFormatting>
  <conditionalFormatting sqref="DQ156:DQ157">
    <cfRule type="cellIs" dxfId="164" priority="18291" stopIfTrue="1" operator="equal">
      <formula>2</formula>
    </cfRule>
  </conditionalFormatting>
  <conditionalFormatting sqref="DQ156">
    <cfRule type="expression" dxfId="163" priority="18290" stopIfTrue="1">
      <formula>$DQ$157=2</formula>
    </cfRule>
  </conditionalFormatting>
  <conditionalFormatting sqref="DQ157">
    <cfRule type="expression" dxfId="162" priority="18289" stopIfTrue="1">
      <formula>$DQ$156=2</formula>
    </cfRule>
  </conditionalFormatting>
  <conditionalFormatting sqref="DQ156:DQ157">
    <cfRule type="expression" dxfId="161" priority="18284" stopIfTrue="1">
      <formula>NOT(AND(SUM($DQ$156:$DQ$157) &lt;= 3,AND(NOT($DQ$156&lt;0),NOT($DQ$157&lt;0)),NOT(AND($DQ$156=0,$DQ$157=3)),NOT(AND($DQ$156=3,$DQ$157=0))))</formula>
    </cfRule>
  </conditionalFormatting>
  <conditionalFormatting sqref="DU156:DU157">
    <cfRule type="cellIs" dxfId="160" priority="18287" stopIfTrue="1" operator="equal">
      <formula>2</formula>
    </cfRule>
  </conditionalFormatting>
  <conditionalFormatting sqref="DU156">
    <cfRule type="expression" dxfId="159" priority="18286" stopIfTrue="1">
      <formula>$DU$157=2</formula>
    </cfRule>
  </conditionalFormatting>
  <conditionalFormatting sqref="DU157">
    <cfRule type="expression" dxfId="158" priority="18285" stopIfTrue="1">
      <formula>$DU$156=2</formula>
    </cfRule>
  </conditionalFormatting>
  <conditionalFormatting sqref="DU156:DU157">
    <cfRule type="expression" dxfId="157" priority="18280" stopIfTrue="1">
      <formula>NOT(AND(SUM($DU$156:$DU$157) &lt;= 3,AND(NOT($DU$156&lt;0),NOT($DU$157&lt;0)),NOT(AND($DU$156=0,$DU$157=3)),NOT(AND($DU$156=3,$DU$157=0))))</formula>
    </cfRule>
  </conditionalFormatting>
  <conditionalFormatting sqref="DY156:DY157">
    <cfRule type="cellIs" dxfId="156" priority="18283" stopIfTrue="1" operator="equal">
      <formula>2</formula>
    </cfRule>
  </conditionalFormatting>
  <conditionalFormatting sqref="DY156">
    <cfRule type="expression" dxfId="155" priority="18282" stopIfTrue="1">
      <formula>$DY$157=2</formula>
    </cfRule>
  </conditionalFormatting>
  <conditionalFormatting sqref="DY157">
    <cfRule type="expression" dxfId="154" priority="18281" stopIfTrue="1">
      <formula>$DY$156=2</formula>
    </cfRule>
  </conditionalFormatting>
  <conditionalFormatting sqref="DY156:DY157">
    <cfRule type="expression" dxfId="153" priority="18276" stopIfTrue="1">
      <formula>NOT(AND(SUM($DY$156:$DY$157) &lt;= 3,AND(NOT($DY$156&lt;0),NOT($DY$157&lt;0)),NOT(AND($DY$156=0,$DY$157=3)),NOT(AND($DY$156=3,$DY$157=0))))</formula>
    </cfRule>
  </conditionalFormatting>
  <conditionalFormatting sqref="EC156:EC157">
    <cfRule type="cellIs" dxfId="152" priority="18279" stopIfTrue="1" operator="equal">
      <formula>2</formula>
    </cfRule>
  </conditionalFormatting>
  <conditionalFormatting sqref="EC156">
    <cfRule type="expression" dxfId="151" priority="18278" stopIfTrue="1">
      <formula>$EC$157=2</formula>
    </cfRule>
  </conditionalFormatting>
  <conditionalFormatting sqref="EC157">
    <cfRule type="expression" dxfId="150" priority="18277" stopIfTrue="1">
      <formula>$EC$156=2</formula>
    </cfRule>
  </conditionalFormatting>
  <conditionalFormatting sqref="EC156:EC157">
    <cfRule type="expression" dxfId="149" priority="18272" stopIfTrue="1">
      <formula>NOT(AND(SUM($EC$156:$EC$157) &lt;= 3,AND(NOT($EC$156&lt;0),NOT($EC$157&lt;0)),NOT(AND($EC$156=0,$EC$157=3)),NOT(AND($EC$156=3,$EC$157=0))))</formula>
    </cfRule>
  </conditionalFormatting>
  <conditionalFormatting sqref="EG156:EG157">
    <cfRule type="cellIs" dxfId="148" priority="18275" stopIfTrue="1" operator="equal">
      <formula>2</formula>
    </cfRule>
  </conditionalFormatting>
  <conditionalFormatting sqref="EG156">
    <cfRule type="expression" dxfId="147" priority="18274" stopIfTrue="1">
      <formula>$EG$157=2</formula>
    </cfRule>
  </conditionalFormatting>
  <conditionalFormatting sqref="EG157">
    <cfRule type="expression" dxfId="146" priority="18273" stopIfTrue="1">
      <formula>$EG$156=2</formula>
    </cfRule>
  </conditionalFormatting>
  <conditionalFormatting sqref="EG156:EG157">
    <cfRule type="expression" dxfId="145" priority="18268" stopIfTrue="1">
      <formula>NOT(AND(SUM($EG$156:$EG$157) &lt;= 3,AND(NOT($EG$156&lt;0),NOT($EG$157&lt;0)),NOT(AND($EG$156=0,$EG$157=3)),NOT(AND($EG$156=3,$EG$157=0))))</formula>
    </cfRule>
  </conditionalFormatting>
  <conditionalFormatting sqref="EK156:EK157">
    <cfRule type="cellIs" dxfId="144" priority="18271" stopIfTrue="1" operator="equal">
      <formula>2</formula>
    </cfRule>
  </conditionalFormatting>
  <conditionalFormatting sqref="EK156">
    <cfRule type="expression" dxfId="143" priority="18270" stopIfTrue="1">
      <formula>$EK$157=2</formula>
    </cfRule>
  </conditionalFormatting>
  <conditionalFormatting sqref="EK157">
    <cfRule type="expression" dxfId="142" priority="18269" stopIfTrue="1">
      <formula>$EK$156=2</formula>
    </cfRule>
  </conditionalFormatting>
  <conditionalFormatting sqref="EK156:EK157">
    <cfRule type="expression" dxfId="141" priority="18264" stopIfTrue="1">
      <formula>NOT(AND(SUM($EK$156:$EK$157) &lt;= 3,AND(NOT($EK$156&lt;0),NOT($EK$157&lt;0)),NOT(AND($EK$156=0,$EK$157=3)),NOT(AND($EK$156=3,$EK$157=0))))</formula>
    </cfRule>
  </conditionalFormatting>
  <conditionalFormatting sqref="EO156:EO157">
    <cfRule type="cellIs" dxfId="140" priority="18267" stopIfTrue="1" operator="equal">
      <formula>2</formula>
    </cfRule>
  </conditionalFormatting>
  <conditionalFormatting sqref="EO156">
    <cfRule type="expression" dxfId="139" priority="18266" stopIfTrue="1">
      <formula>$EO$157=2</formula>
    </cfRule>
  </conditionalFormatting>
  <conditionalFormatting sqref="EO157">
    <cfRule type="expression" dxfId="138" priority="18265" stopIfTrue="1">
      <formula>$EO$156=2</formula>
    </cfRule>
  </conditionalFormatting>
  <conditionalFormatting sqref="EO156:EO157">
    <cfRule type="expression" dxfId="137" priority="18260" stopIfTrue="1">
      <formula>NOT(AND(SUM($EO$156:$EO$157) &lt;= 3,AND(NOT($EO$156&lt;0),NOT($EO$157&lt;0)),NOT(AND($EO$156=0,$EO$157=3)),NOT(AND($EO$156=3,$EO$157=0))))</formula>
    </cfRule>
  </conditionalFormatting>
  <conditionalFormatting sqref="ES156:ES157">
    <cfRule type="cellIs" dxfId="136" priority="18263" stopIfTrue="1" operator="equal">
      <formula>2</formula>
    </cfRule>
  </conditionalFormatting>
  <conditionalFormatting sqref="ES156">
    <cfRule type="expression" dxfId="135" priority="18262" stopIfTrue="1">
      <formula>$ES$157=2</formula>
    </cfRule>
  </conditionalFormatting>
  <conditionalFormatting sqref="ES157">
    <cfRule type="expression" dxfId="134" priority="18261" stopIfTrue="1">
      <formula>$ES$156=2</formula>
    </cfRule>
  </conditionalFormatting>
  <conditionalFormatting sqref="ES156:ES157">
    <cfRule type="expression" dxfId="133" priority="18256" stopIfTrue="1">
      <formula>NOT(AND(SUM($ES$156:$ES$157) &lt;= 3,AND(NOT($ES$156&lt;0),NOT($ES$157&lt;0)),NOT(AND($ES$156=0,$ES$157=3)),NOT(AND($ES$156=3,$ES$157=0))))</formula>
    </cfRule>
  </conditionalFormatting>
  <conditionalFormatting sqref="EW156:EW157">
    <cfRule type="cellIs" dxfId="132" priority="18259" stopIfTrue="1" operator="equal">
      <formula>2</formula>
    </cfRule>
  </conditionalFormatting>
  <conditionalFormatting sqref="EW156">
    <cfRule type="expression" dxfId="131" priority="18258" stopIfTrue="1">
      <formula>$EW$157=2</formula>
    </cfRule>
  </conditionalFormatting>
  <conditionalFormatting sqref="EW157">
    <cfRule type="expression" dxfId="130" priority="18257" stopIfTrue="1">
      <formula>$EW$156=2</formula>
    </cfRule>
  </conditionalFormatting>
  <conditionalFormatting sqref="EW156:EW157">
    <cfRule type="expression" dxfId="129" priority="18252" stopIfTrue="1">
      <formula>NOT(AND(SUM($EW$156:$EW$157) &lt;= 3,AND(NOT($EW$156&lt;0),NOT($EW$157&lt;0)),NOT(AND($EW$156=0,$EW$157=3)),NOT(AND($EW$156=3,$EW$157=0))))</formula>
    </cfRule>
  </conditionalFormatting>
  <conditionalFormatting sqref="FA156:FA157">
    <cfRule type="cellIs" dxfId="128" priority="18255" stopIfTrue="1" operator="equal">
      <formula>2</formula>
    </cfRule>
  </conditionalFormatting>
  <conditionalFormatting sqref="FA156">
    <cfRule type="expression" dxfId="127" priority="18254" stopIfTrue="1">
      <formula>$FA$157=2</formula>
    </cfRule>
  </conditionalFormatting>
  <conditionalFormatting sqref="FA157">
    <cfRule type="expression" dxfId="126" priority="18253" stopIfTrue="1">
      <formula>$FA$156=2</formula>
    </cfRule>
  </conditionalFormatting>
  <conditionalFormatting sqref="FA156:FA157">
    <cfRule type="expression" dxfId="125" priority="18248" stopIfTrue="1">
      <formula>NOT(AND(SUM($FA$156:$FA$157) &lt;= 3,AND(NOT($FA$156&lt;0),NOT($FA$157&lt;0)),NOT(AND($FA$156=0,$FA$157=3)),NOT(AND($FA$156=3,$FA$157=0))))</formula>
    </cfRule>
  </conditionalFormatting>
  <conditionalFormatting sqref="FE156:FE157">
    <cfRule type="cellIs" dxfId="124" priority="18251" stopIfTrue="1" operator="equal">
      <formula>2</formula>
    </cfRule>
  </conditionalFormatting>
  <conditionalFormatting sqref="FE156">
    <cfRule type="expression" dxfId="123" priority="18250" stopIfTrue="1">
      <formula>$FE$157=2</formula>
    </cfRule>
  </conditionalFormatting>
  <conditionalFormatting sqref="FE157">
    <cfRule type="expression" dxfId="122" priority="18249" stopIfTrue="1">
      <formula>$FE$156=2</formula>
    </cfRule>
  </conditionalFormatting>
  <conditionalFormatting sqref="FE156:FE157">
    <cfRule type="expression" dxfId="121" priority="18244" stopIfTrue="1">
      <formula>NOT(AND(SUM($FE$156:$FE$157) &lt;= 3,AND(NOT($FE$156&lt;0),NOT($FE$157&lt;0)),NOT(AND($FE$156=0,$FE$157=3)),NOT(AND($FE$156=3,$FE$157=0))))</formula>
    </cfRule>
  </conditionalFormatting>
  <conditionalFormatting sqref="FI156:FI157">
    <cfRule type="cellIs" dxfId="120" priority="18247" stopIfTrue="1" operator="equal">
      <formula>2</formula>
    </cfRule>
  </conditionalFormatting>
  <conditionalFormatting sqref="FI156">
    <cfRule type="expression" dxfId="119" priority="18246" stopIfTrue="1">
      <formula>$FI$157=2</formula>
    </cfRule>
  </conditionalFormatting>
  <conditionalFormatting sqref="FI157">
    <cfRule type="expression" dxfId="118" priority="18245" stopIfTrue="1">
      <formula>$FI$156=2</formula>
    </cfRule>
  </conditionalFormatting>
  <conditionalFormatting sqref="FI156:FI157">
    <cfRule type="expression" dxfId="117" priority="18240" stopIfTrue="1">
      <formula>NOT(AND(SUM($FI$156:$FI$157) &lt;= 3,AND(NOT($FI$156&lt;0),NOT($FI$157&lt;0)),NOT(AND($FI$156=0,$FI$157=3)),NOT(AND($FI$156=3,$FI$157=0))))</formula>
    </cfRule>
  </conditionalFormatting>
  <conditionalFormatting sqref="FM156:FM157">
    <cfRule type="cellIs" dxfId="116" priority="18243" stopIfTrue="1" operator="equal">
      <formula>2</formula>
    </cfRule>
  </conditionalFormatting>
  <conditionalFormatting sqref="FM156">
    <cfRule type="expression" dxfId="115" priority="18242" stopIfTrue="1">
      <formula>$FM$157=2</formula>
    </cfRule>
  </conditionalFormatting>
  <conditionalFormatting sqref="FM157">
    <cfRule type="expression" dxfId="114" priority="18241" stopIfTrue="1">
      <formula>$FM$156=2</formula>
    </cfRule>
  </conditionalFormatting>
  <conditionalFormatting sqref="FM156:FM157">
    <cfRule type="expression" dxfId="113" priority="18236" stopIfTrue="1">
      <formula>NOT(AND(SUM($FM$156:$FM$157) &lt;= 3,AND(NOT($FM$156&lt;0),NOT($FM$157&lt;0)),NOT(AND($FM$156=0,$FM$157=3)),NOT(AND($FM$156=3,$FM$157=0))))</formula>
    </cfRule>
  </conditionalFormatting>
  <conditionalFormatting sqref="AC4:AC5">
    <cfRule type="cellIs" dxfId="112" priority="113" stopIfTrue="1" operator="equal">
      <formula>2</formula>
    </cfRule>
  </conditionalFormatting>
  <conditionalFormatting sqref="AC4">
    <cfRule type="expression" dxfId="111" priority="112" stopIfTrue="1">
      <formula>$AC$5=2</formula>
    </cfRule>
  </conditionalFormatting>
  <conditionalFormatting sqref="AC5">
    <cfRule type="expression" dxfId="110" priority="111" stopIfTrue="1">
      <formula>$AC$4=2</formula>
    </cfRule>
  </conditionalFormatting>
  <conditionalFormatting sqref="AC4:AC5">
    <cfRule type="expression" dxfId="109" priority="106" stopIfTrue="1">
      <formula>OR(SUM($AC$4:$AC$5) &gt; 3,OR($AC$4&lt; 0,$AC$5 &lt; 0))</formula>
    </cfRule>
  </conditionalFormatting>
  <conditionalFormatting sqref="AG4:AG5">
    <cfRule type="cellIs" dxfId="108" priority="109" stopIfTrue="1" operator="equal">
      <formula>2</formula>
    </cfRule>
  </conditionalFormatting>
  <conditionalFormatting sqref="AG4">
    <cfRule type="expression" dxfId="107" priority="108" stopIfTrue="1">
      <formula>$AG$5=2</formula>
    </cfRule>
  </conditionalFormatting>
  <conditionalFormatting sqref="AG5">
    <cfRule type="expression" dxfId="106" priority="107" stopIfTrue="1">
      <formula>$AG$4=2</formula>
    </cfRule>
  </conditionalFormatting>
  <conditionalFormatting sqref="AG4:AG5">
    <cfRule type="expression" dxfId="105" priority="102" stopIfTrue="1">
      <formula>OR(SUM($AG$4:$AG$5) &gt; 3,OR($AG$4&lt; 0,$AG$5 &lt; 0))</formula>
    </cfRule>
  </conditionalFormatting>
  <conditionalFormatting sqref="AK4:AK5">
    <cfRule type="cellIs" dxfId="104" priority="105" stopIfTrue="1" operator="equal">
      <formula>2</formula>
    </cfRule>
  </conditionalFormatting>
  <conditionalFormatting sqref="AK4">
    <cfRule type="expression" dxfId="103" priority="104" stopIfTrue="1">
      <formula>$AK$5=2</formula>
    </cfRule>
  </conditionalFormatting>
  <conditionalFormatting sqref="AK5">
    <cfRule type="expression" dxfId="102" priority="103" stopIfTrue="1">
      <formula>$AK$4=2</formula>
    </cfRule>
  </conditionalFormatting>
  <conditionalFormatting sqref="AK4:AK5">
    <cfRule type="expression" dxfId="101" priority="98" stopIfTrue="1">
      <formula>OR(SUM($AK$4:$AK$5) &gt; 3,OR($AK$4&lt; 0,$AK$5 &lt; 0))</formula>
    </cfRule>
  </conditionalFormatting>
  <conditionalFormatting sqref="AO4:AO5">
    <cfRule type="cellIs" dxfId="100" priority="101" stopIfTrue="1" operator="equal">
      <formula>2</formula>
    </cfRule>
  </conditionalFormatting>
  <conditionalFormatting sqref="AO4">
    <cfRule type="expression" dxfId="99" priority="100" stopIfTrue="1">
      <formula>$AO$5=2</formula>
    </cfRule>
  </conditionalFormatting>
  <conditionalFormatting sqref="AO5">
    <cfRule type="expression" dxfId="98" priority="99" stopIfTrue="1">
      <formula>$AO$4=2</formula>
    </cfRule>
  </conditionalFormatting>
  <conditionalFormatting sqref="AO4:AO5">
    <cfRule type="expression" dxfId="97" priority="94" stopIfTrue="1">
      <formula>OR(SUM($AO$4:$AO$5) &gt; 3,OR($AO$4&lt; 0,$AO$5 &lt; 0))</formula>
    </cfRule>
  </conditionalFormatting>
  <conditionalFormatting sqref="AC8:AC9">
    <cfRule type="cellIs" dxfId="96" priority="97" stopIfTrue="1" operator="equal">
      <formula>2</formula>
    </cfRule>
  </conditionalFormatting>
  <conditionalFormatting sqref="AC8">
    <cfRule type="expression" dxfId="95" priority="96" stopIfTrue="1">
      <formula>$AC$9=2</formula>
    </cfRule>
  </conditionalFormatting>
  <conditionalFormatting sqref="AC9">
    <cfRule type="expression" dxfId="94" priority="95" stopIfTrue="1">
      <formula>$AC$8=2</formula>
    </cfRule>
  </conditionalFormatting>
  <conditionalFormatting sqref="AC8:AC9">
    <cfRule type="expression" dxfId="93" priority="90" stopIfTrue="1">
      <formula>OR(SUM($AC$8:$AC$9) &gt; 3,OR($AC$8&lt; 0,$AC$9 &lt; 0))</formula>
    </cfRule>
  </conditionalFormatting>
  <conditionalFormatting sqref="AG8:AG9">
    <cfRule type="cellIs" dxfId="92" priority="93" stopIfTrue="1" operator="equal">
      <formula>2</formula>
    </cfRule>
  </conditionalFormatting>
  <conditionalFormatting sqref="AG8">
    <cfRule type="expression" dxfId="91" priority="92" stopIfTrue="1">
      <formula>$AG$9=2</formula>
    </cfRule>
  </conditionalFormatting>
  <conditionalFormatting sqref="AG9">
    <cfRule type="expression" dxfId="90" priority="91" stopIfTrue="1">
      <formula>$AG$8=2</formula>
    </cfRule>
  </conditionalFormatting>
  <conditionalFormatting sqref="AG8:AG9">
    <cfRule type="expression" dxfId="89" priority="86" stopIfTrue="1">
      <formula>OR(SUM($AG$8:$AG$9) &gt; 3,OR($AG$8&lt; 0,$AG$9 &lt; 0))</formula>
    </cfRule>
  </conditionalFormatting>
  <conditionalFormatting sqref="AK8:AK9">
    <cfRule type="cellIs" dxfId="88" priority="89" stopIfTrue="1" operator="equal">
      <formula>2</formula>
    </cfRule>
  </conditionalFormatting>
  <conditionalFormatting sqref="AK8">
    <cfRule type="expression" dxfId="87" priority="88" stopIfTrue="1">
      <formula>$AK$9=2</formula>
    </cfRule>
  </conditionalFormatting>
  <conditionalFormatting sqref="AK9">
    <cfRule type="expression" dxfId="86" priority="87" stopIfTrue="1">
      <formula>$AK$8=2</formula>
    </cfRule>
  </conditionalFormatting>
  <conditionalFormatting sqref="AK8:AK9">
    <cfRule type="expression" dxfId="85" priority="82" stopIfTrue="1">
      <formula>OR(SUM($AK$8:$AK$9) &gt; 3,OR($AK$8&lt; 0,$AK$9 &lt; 0))</formula>
    </cfRule>
  </conditionalFormatting>
  <conditionalFormatting sqref="AO8:AO9">
    <cfRule type="cellIs" dxfId="84" priority="85" stopIfTrue="1" operator="equal">
      <formula>2</formula>
    </cfRule>
  </conditionalFormatting>
  <conditionalFormatting sqref="AO8">
    <cfRule type="expression" dxfId="83" priority="84" stopIfTrue="1">
      <formula>$AO$9=2</formula>
    </cfRule>
  </conditionalFormatting>
  <conditionalFormatting sqref="AO9">
    <cfRule type="expression" dxfId="82" priority="83" stopIfTrue="1">
      <formula>$AO$8=2</formula>
    </cfRule>
  </conditionalFormatting>
  <conditionalFormatting sqref="AO8:AO9">
    <cfRule type="expression" dxfId="81" priority="78" stopIfTrue="1">
      <formula>OR(SUM($AO$8:$AO$9) &gt; 3,OR($AO$8&lt; 0,$AO$9 &lt; 0))</formula>
    </cfRule>
  </conditionalFormatting>
  <conditionalFormatting sqref="AC12:AC13">
    <cfRule type="cellIs" dxfId="80" priority="81" stopIfTrue="1" operator="equal">
      <formula>2</formula>
    </cfRule>
  </conditionalFormatting>
  <conditionalFormatting sqref="AC12">
    <cfRule type="expression" dxfId="79" priority="80" stopIfTrue="1">
      <formula>$AC$13=2</formula>
    </cfRule>
  </conditionalFormatting>
  <conditionalFormatting sqref="AC13">
    <cfRule type="expression" dxfId="78" priority="79" stopIfTrue="1">
      <formula>$AC$12=2</formula>
    </cfRule>
  </conditionalFormatting>
  <conditionalFormatting sqref="AC12:AC13">
    <cfRule type="expression" dxfId="77" priority="74" stopIfTrue="1">
      <formula>OR(SUM($AC$12:$AC$13) &gt; 3,OR($AC$12&lt; 0,$AC$13 &lt; 0))</formula>
    </cfRule>
  </conditionalFormatting>
  <conditionalFormatting sqref="AG12:AG13">
    <cfRule type="cellIs" dxfId="76" priority="77" stopIfTrue="1" operator="equal">
      <formula>2</formula>
    </cfRule>
  </conditionalFormatting>
  <conditionalFormatting sqref="AG12">
    <cfRule type="expression" dxfId="75" priority="76" stopIfTrue="1">
      <formula>$AG$13=2</formula>
    </cfRule>
  </conditionalFormatting>
  <conditionalFormatting sqref="AG13">
    <cfRule type="expression" dxfId="74" priority="75" stopIfTrue="1">
      <formula>$AG$12=2</formula>
    </cfRule>
  </conditionalFormatting>
  <conditionalFormatting sqref="AG12:AG13">
    <cfRule type="expression" dxfId="73" priority="70" stopIfTrue="1">
      <formula>OR(SUM($AG$12:$AG$13) &gt; 3,OR($AG$12&lt; 0,$AG$13 &lt; 0))</formula>
    </cfRule>
  </conditionalFormatting>
  <conditionalFormatting sqref="AK12:AK13">
    <cfRule type="cellIs" dxfId="72" priority="73" stopIfTrue="1" operator="equal">
      <formula>2</formula>
    </cfRule>
  </conditionalFormatting>
  <conditionalFormatting sqref="AK12">
    <cfRule type="expression" dxfId="71" priority="72" stopIfTrue="1">
      <formula>$AK$13=2</formula>
    </cfRule>
  </conditionalFormatting>
  <conditionalFormatting sqref="AK13">
    <cfRule type="expression" dxfId="70" priority="71" stopIfTrue="1">
      <formula>$AK$12=2</formula>
    </cfRule>
  </conditionalFormatting>
  <conditionalFormatting sqref="AK12:AK13">
    <cfRule type="expression" dxfId="69" priority="66" stopIfTrue="1">
      <formula>OR(SUM($AK$12:$AK$13) &gt; 3,OR($AK$12&lt; 0,$AK$13 &lt; 0))</formula>
    </cfRule>
  </conditionalFormatting>
  <conditionalFormatting sqref="AO12:AO13">
    <cfRule type="cellIs" dxfId="68" priority="69" stopIfTrue="1" operator="equal">
      <formula>2</formula>
    </cfRule>
  </conditionalFormatting>
  <conditionalFormatting sqref="AO12">
    <cfRule type="expression" dxfId="67" priority="68" stopIfTrue="1">
      <formula>$AO$13=2</formula>
    </cfRule>
  </conditionalFormatting>
  <conditionalFormatting sqref="AO13">
    <cfRule type="expression" dxfId="66" priority="67" stopIfTrue="1">
      <formula>$AO$12=2</formula>
    </cfRule>
  </conditionalFormatting>
  <conditionalFormatting sqref="AO12:AO13">
    <cfRule type="expression" dxfId="65" priority="62" stopIfTrue="1">
      <formula>OR(SUM($AO$12:$AO$13) &gt; 3,OR($AO$12&lt; 0,$AO$13 &lt; 0))</formula>
    </cfRule>
  </conditionalFormatting>
  <conditionalFormatting sqref="AC16:AC17">
    <cfRule type="cellIs" dxfId="64" priority="65" stopIfTrue="1" operator="equal">
      <formula>2</formula>
    </cfRule>
  </conditionalFormatting>
  <conditionalFormatting sqref="AC16">
    <cfRule type="expression" dxfId="63" priority="64" stopIfTrue="1">
      <formula>$AC$17=2</formula>
    </cfRule>
  </conditionalFormatting>
  <conditionalFormatting sqref="AC17">
    <cfRule type="expression" dxfId="62" priority="63" stopIfTrue="1">
      <formula>$AC$16=2</formula>
    </cfRule>
  </conditionalFormatting>
  <conditionalFormatting sqref="AC16:AC17">
    <cfRule type="expression" dxfId="61" priority="58" stopIfTrue="1">
      <formula>OR(SUM($AC$16:$AC$17) &gt; 3,OR($AC$16&lt; 0,$AC$17 &lt; 0))</formula>
    </cfRule>
  </conditionalFormatting>
  <conditionalFormatting sqref="AG16:AG17">
    <cfRule type="cellIs" dxfId="60" priority="61" stopIfTrue="1" operator="equal">
      <formula>2</formula>
    </cfRule>
  </conditionalFormatting>
  <conditionalFormatting sqref="AG16">
    <cfRule type="expression" dxfId="59" priority="60" stopIfTrue="1">
      <formula>$AG$17=2</formula>
    </cfRule>
  </conditionalFormatting>
  <conditionalFormatting sqref="AG17">
    <cfRule type="expression" dxfId="58" priority="59" stopIfTrue="1">
      <formula>$AG$16=2</formula>
    </cfRule>
  </conditionalFormatting>
  <conditionalFormatting sqref="AG16:AG17">
    <cfRule type="expression" dxfId="57" priority="54" stopIfTrue="1">
      <formula>OR(SUM($AG$16:$AG$17) &gt; 3,OR($AG$16&lt; 0,$AG$17 &lt; 0))</formula>
    </cfRule>
  </conditionalFormatting>
  <conditionalFormatting sqref="AK16:AK17">
    <cfRule type="cellIs" dxfId="56" priority="57" stopIfTrue="1" operator="equal">
      <formula>2</formula>
    </cfRule>
  </conditionalFormatting>
  <conditionalFormatting sqref="AK16">
    <cfRule type="expression" dxfId="55" priority="56" stopIfTrue="1">
      <formula>$AK$17=2</formula>
    </cfRule>
  </conditionalFormatting>
  <conditionalFormatting sqref="AK17">
    <cfRule type="expression" dxfId="54" priority="55" stopIfTrue="1">
      <formula>$AK$16=2</formula>
    </cfRule>
  </conditionalFormatting>
  <conditionalFormatting sqref="AK16:AK17">
    <cfRule type="expression" dxfId="53" priority="50" stopIfTrue="1">
      <formula>OR(SUM($AK$16:$AK$17) &gt; 3,OR($AK$16&lt; 0,$AK$17 &lt; 0))</formula>
    </cfRule>
  </conditionalFormatting>
  <conditionalFormatting sqref="AO16:AO17">
    <cfRule type="cellIs" dxfId="52" priority="53" stopIfTrue="1" operator="equal">
      <formula>2</formula>
    </cfRule>
  </conditionalFormatting>
  <conditionalFormatting sqref="AO16">
    <cfRule type="expression" dxfId="51" priority="52" stopIfTrue="1">
      <formula>$AO$17=2</formula>
    </cfRule>
  </conditionalFormatting>
  <conditionalFormatting sqref="AO17">
    <cfRule type="expression" dxfId="50" priority="51" stopIfTrue="1">
      <formula>$AO$16=2</formula>
    </cfRule>
  </conditionalFormatting>
  <conditionalFormatting sqref="AO16:AO17">
    <cfRule type="expression" dxfId="49" priority="46" stopIfTrue="1">
      <formula>OR(SUM($AO$16:$AO$17) &gt; 3,OR($AO$16&lt; 0,$AO$17 &lt; 0))</formula>
    </cfRule>
  </conditionalFormatting>
  <conditionalFormatting sqref="AC20:AC21">
    <cfRule type="cellIs" dxfId="48" priority="49" stopIfTrue="1" operator="equal">
      <formula>2</formula>
    </cfRule>
  </conditionalFormatting>
  <conditionalFormatting sqref="AC20">
    <cfRule type="expression" dxfId="47" priority="48" stopIfTrue="1">
      <formula>$AC$21=2</formula>
    </cfRule>
  </conditionalFormatting>
  <conditionalFormatting sqref="AC21">
    <cfRule type="expression" dxfId="46" priority="47" stopIfTrue="1">
      <formula>$AC$20=2</formula>
    </cfRule>
  </conditionalFormatting>
  <conditionalFormatting sqref="AC20:AC21">
    <cfRule type="expression" dxfId="45" priority="42" stopIfTrue="1">
      <formula>OR(SUM($AC$20:$AC$21) &gt; 3,OR($AC$20&lt; 0,$AC$21 &lt; 0))</formula>
    </cfRule>
  </conditionalFormatting>
  <conditionalFormatting sqref="AG20:AG21">
    <cfRule type="cellIs" dxfId="44" priority="45" stopIfTrue="1" operator="equal">
      <formula>2</formula>
    </cfRule>
  </conditionalFormatting>
  <conditionalFormatting sqref="AG20">
    <cfRule type="expression" dxfId="43" priority="44" stopIfTrue="1">
      <formula>$AG$21=2</formula>
    </cfRule>
  </conditionalFormatting>
  <conditionalFormatting sqref="AG21">
    <cfRule type="expression" dxfId="42" priority="43" stopIfTrue="1">
      <formula>$AG$20=2</formula>
    </cfRule>
  </conditionalFormatting>
  <conditionalFormatting sqref="AG20:AG21">
    <cfRule type="expression" dxfId="41" priority="38" stopIfTrue="1">
      <formula>OR(SUM($AG$20:$AG$21) &gt; 3,OR($AG$20&lt; 0,$AG$21 &lt; 0))</formula>
    </cfRule>
  </conditionalFormatting>
  <conditionalFormatting sqref="AK20:AK21">
    <cfRule type="cellIs" dxfId="40" priority="41" stopIfTrue="1" operator="equal">
      <formula>2</formula>
    </cfRule>
  </conditionalFormatting>
  <conditionalFormatting sqref="AK20">
    <cfRule type="expression" dxfId="39" priority="40" stopIfTrue="1">
      <formula>$AK$21=2</formula>
    </cfRule>
  </conditionalFormatting>
  <conditionalFormatting sqref="AK21">
    <cfRule type="expression" dxfId="38" priority="39" stopIfTrue="1">
      <formula>$AK$20=2</formula>
    </cfRule>
  </conditionalFormatting>
  <conditionalFormatting sqref="AK20:AK21">
    <cfRule type="expression" dxfId="37" priority="34" stopIfTrue="1">
      <formula>OR(SUM($AK$20:$AK$21) &gt; 3,OR($AK$20&lt; 0,$AK$21 &lt; 0))</formula>
    </cfRule>
  </conditionalFormatting>
  <conditionalFormatting sqref="AO20:AO21">
    <cfRule type="cellIs" dxfId="36" priority="37" stopIfTrue="1" operator="equal">
      <formula>2</formula>
    </cfRule>
  </conditionalFormatting>
  <conditionalFormatting sqref="AO20">
    <cfRule type="expression" dxfId="35" priority="36" stopIfTrue="1">
      <formula>$AO$21=2</formula>
    </cfRule>
  </conditionalFormatting>
  <conditionalFormatting sqref="AO21">
    <cfRule type="expression" dxfId="34" priority="35" stopIfTrue="1">
      <formula>$AO$20=2</formula>
    </cfRule>
  </conditionalFormatting>
  <conditionalFormatting sqref="AO20:AO21">
    <cfRule type="expression" dxfId="33" priority="30" stopIfTrue="1">
      <formula>OR(SUM($AO$20:$AO$21) &gt; 3,OR($AO$20&lt; 0,$AO$21 &lt; 0))</formula>
    </cfRule>
  </conditionalFormatting>
  <conditionalFormatting sqref="AC24:AC25">
    <cfRule type="cellIs" dxfId="32" priority="33" stopIfTrue="1" operator="equal">
      <formula>2</formula>
    </cfRule>
  </conditionalFormatting>
  <conditionalFormatting sqref="AC24">
    <cfRule type="expression" dxfId="31" priority="32" stopIfTrue="1">
      <formula>$AC$25=2</formula>
    </cfRule>
  </conditionalFormatting>
  <conditionalFormatting sqref="AC25">
    <cfRule type="expression" dxfId="30" priority="31" stopIfTrue="1">
      <formula>$AC$24=2</formula>
    </cfRule>
  </conditionalFormatting>
  <conditionalFormatting sqref="AC24:AC25">
    <cfRule type="expression" dxfId="29" priority="26" stopIfTrue="1">
      <formula>OR(SUM($AC$24:$AC$25) &gt; 3,OR($AC$24&lt; 0,$AC$25 &lt; 0))</formula>
    </cfRule>
  </conditionalFormatting>
  <conditionalFormatting sqref="AG24:AG25">
    <cfRule type="cellIs" dxfId="28" priority="29" stopIfTrue="1" operator="equal">
      <formula>2</formula>
    </cfRule>
  </conditionalFormatting>
  <conditionalFormatting sqref="AG24">
    <cfRule type="expression" dxfId="27" priority="28" stopIfTrue="1">
      <formula>$AG$25=2</formula>
    </cfRule>
  </conditionalFormatting>
  <conditionalFormatting sqref="AG25">
    <cfRule type="expression" dxfId="26" priority="27" stopIfTrue="1">
      <formula>$AG$24=2</formula>
    </cfRule>
  </conditionalFormatting>
  <conditionalFormatting sqref="AG24:AG25">
    <cfRule type="expression" dxfId="25" priority="22" stopIfTrue="1">
      <formula>OR(SUM($AG$24:$AG$25) &gt; 3,OR($AG$24&lt; 0,$AG$25 &lt; 0))</formula>
    </cfRule>
  </conditionalFormatting>
  <conditionalFormatting sqref="AK24:AK25">
    <cfRule type="cellIs" dxfId="24" priority="25" stopIfTrue="1" operator="equal">
      <formula>2</formula>
    </cfRule>
  </conditionalFormatting>
  <conditionalFormatting sqref="AK24">
    <cfRule type="expression" dxfId="23" priority="24" stopIfTrue="1">
      <formula>$AK$25=2</formula>
    </cfRule>
  </conditionalFormatting>
  <conditionalFormatting sqref="AK25">
    <cfRule type="expression" dxfId="22" priority="23" stopIfTrue="1">
      <formula>$AK$24=2</formula>
    </cfRule>
  </conditionalFormatting>
  <conditionalFormatting sqref="AK24:AK25">
    <cfRule type="expression" dxfId="21" priority="18" stopIfTrue="1">
      <formula>OR(SUM($AK$24:$AK$25) &gt; 3,OR($AK$24&lt; 0,$AK$25 &lt; 0))</formula>
    </cfRule>
  </conditionalFormatting>
  <conditionalFormatting sqref="AO24:AO25">
    <cfRule type="cellIs" dxfId="20" priority="21" stopIfTrue="1" operator="equal">
      <formula>2</formula>
    </cfRule>
  </conditionalFormatting>
  <conditionalFormatting sqref="AO24">
    <cfRule type="expression" dxfId="19" priority="20" stopIfTrue="1">
      <formula>$AO$25=2</formula>
    </cfRule>
  </conditionalFormatting>
  <conditionalFormatting sqref="AO25">
    <cfRule type="expression" dxfId="18" priority="19" stopIfTrue="1">
      <formula>$AO$24=2</formula>
    </cfRule>
  </conditionalFormatting>
  <conditionalFormatting sqref="AO24:AO25">
    <cfRule type="expression" dxfId="17" priority="14" stopIfTrue="1">
      <formula>OR(SUM($AO$24:$AO$25) &gt; 3,OR($AO$24&lt; 0,$AO$25 &lt; 0))</formula>
    </cfRule>
  </conditionalFormatting>
  <conditionalFormatting sqref="AC28:AC29">
    <cfRule type="cellIs" dxfId="16" priority="17" stopIfTrue="1" operator="equal">
      <formula>2</formula>
    </cfRule>
  </conditionalFormatting>
  <conditionalFormatting sqref="AC28">
    <cfRule type="expression" dxfId="15" priority="16" stopIfTrue="1">
      <formula>$AC$29=2</formula>
    </cfRule>
  </conditionalFormatting>
  <conditionalFormatting sqref="AC29">
    <cfRule type="expression" dxfId="14" priority="15" stopIfTrue="1">
      <formula>$AC$28=2</formula>
    </cfRule>
  </conditionalFormatting>
  <conditionalFormatting sqref="AC28:AC29">
    <cfRule type="expression" dxfId="13" priority="10" stopIfTrue="1">
      <formula>OR(SUM($AC$28:$AC$29) &gt; 3,OR($AC$28&lt; 0,$AC$29 &lt; 0))</formula>
    </cfRule>
  </conditionalFormatting>
  <conditionalFormatting sqref="AG28:AG29">
    <cfRule type="cellIs" dxfId="12" priority="13" stopIfTrue="1" operator="equal">
      <formula>2</formula>
    </cfRule>
  </conditionalFormatting>
  <conditionalFormatting sqref="AG28">
    <cfRule type="expression" dxfId="11" priority="12" stopIfTrue="1">
      <formula>$AG$29=2</formula>
    </cfRule>
  </conditionalFormatting>
  <conditionalFormatting sqref="AG29">
    <cfRule type="expression" dxfId="10" priority="11" stopIfTrue="1">
      <formula>$AG$28=2</formula>
    </cfRule>
  </conditionalFormatting>
  <conditionalFormatting sqref="AG28:AG29">
    <cfRule type="expression" dxfId="9" priority="6" stopIfTrue="1">
      <formula>OR(SUM($AG$28:$AG$29) &gt; 3,OR($AG$28&lt; 0,$AG$29 &lt; 0))</formula>
    </cfRule>
  </conditionalFormatting>
  <conditionalFormatting sqref="AK28:AK29">
    <cfRule type="cellIs" dxfId="8" priority="9" stopIfTrue="1" operator="equal">
      <formula>2</formula>
    </cfRule>
  </conditionalFormatting>
  <conditionalFormatting sqref="AK28">
    <cfRule type="expression" dxfId="7" priority="8" stopIfTrue="1">
      <formula>$AK$29=2</formula>
    </cfRule>
  </conditionalFormatting>
  <conditionalFormatting sqref="AK29">
    <cfRule type="expression" dxfId="6" priority="7" stopIfTrue="1">
      <formula>$AK$28=2</formula>
    </cfRule>
  </conditionalFormatting>
  <conditionalFormatting sqref="AK28:AK29">
    <cfRule type="expression" dxfId="5" priority="2" stopIfTrue="1">
      <formula>OR(SUM($AK$28:$AK$29) &gt; 3,OR($AK$28&lt; 0,$AK$29 &lt; 0))</formula>
    </cfRule>
  </conditionalFormatting>
  <conditionalFormatting sqref="AO28:AO29">
    <cfRule type="cellIs" dxfId="4" priority="5" stopIfTrue="1" operator="equal">
      <formula>2</formula>
    </cfRule>
  </conditionalFormatting>
  <conditionalFormatting sqref="AO28">
    <cfRule type="expression" dxfId="3" priority="4" stopIfTrue="1">
      <formula>$AO$29=2</formula>
    </cfRule>
  </conditionalFormatting>
  <conditionalFormatting sqref="AO29">
    <cfRule type="expression" dxfId="2" priority="3" stopIfTrue="1">
      <formula>$AO$28=2</formula>
    </cfRule>
  </conditionalFormatting>
  <conditionalFormatting sqref="AO28:AO29">
    <cfRule type="expression" dxfId="1" priority="1" stopIfTrue="1">
      <formula>OR(SUM($AO$28:$AO$29) &gt; 3,OR($AO$28&lt; 0,$AO$29 &lt; 0))</formula>
    </cfRule>
  </conditionalFormatting>
  <conditionalFormatting sqref="M15:M22">
    <cfRule type="cellIs" dxfId="0" priority="21324" stopIfTrue="1" operator="equal">
      <formula>7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D7A2-2869-CB4F-B459-F8E6C06CBC09}">
  <sheetPr codeName="Sheet2"/>
  <dimension ref="A1:DV129"/>
  <sheetViews>
    <sheetView zoomScale="75" zoomScaleNormal="75" workbookViewId="0">
      <selection activeCell="G3" sqref="G3:N11"/>
    </sheetView>
  </sheetViews>
  <sheetFormatPr baseColWidth="10" defaultColWidth="8.33203125" defaultRowHeight="50" customHeight="1"/>
  <cols>
    <col min="10" max="10" width="8.33203125" customWidth="1"/>
  </cols>
  <sheetData>
    <row r="1" spans="1:126" s="40" customFormat="1" ht="112" customHeight="1">
      <c r="A1" s="145" t="str">
        <f>Groupstage!A1</f>
        <v>[SESONG]turnering, [DATO], [STED]</v>
      </c>
      <c r="B1" s="145"/>
      <c r="C1" s="145"/>
      <c r="D1" s="145"/>
      <c r="E1" s="145"/>
      <c r="F1" s="145"/>
      <c r="G1" s="88"/>
      <c r="H1" s="88"/>
      <c r="I1" s="88"/>
      <c r="J1" s="88"/>
      <c r="K1" s="88"/>
      <c r="L1" s="88"/>
      <c r="M1" s="88"/>
      <c r="N1" s="88"/>
      <c r="O1" s="145"/>
      <c r="P1" s="145"/>
      <c r="Q1" s="145"/>
      <c r="R1" s="145"/>
      <c r="S1" s="145"/>
      <c r="T1" s="145"/>
      <c r="U1" s="145"/>
      <c r="V1" s="145"/>
      <c r="W1" s="145"/>
    </row>
    <row r="2" spans="1:126" ht="50" customHeight="1">
      <c r="A2" s="40"/>
      <c r="B2" s="40"/>
      <c r="C2" s="40"/>
      <c r="D2" s="40"/>
      <c r="E2" s="40"/>
      <c r="F2" s="36"/>
      <c r="G2" s="20"/>
      <c r="H2" s="20"/>
      <c r="I2" s="20"/>
      <c r="J2" s="20"/>
      <c r="K2" s="35"/>
      <c r="L2" s="35"/>
      <c r="M2" s="35"/>
      <c r="N2" s="20"/>
      <c r="O2" s="20"/>
      <c r="P2" s="20"/>
      <c r="Q2" s="20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</row>
    <row r="3" spans="1:126" ht="50" customHeight="1">
      <c r="A3" s="40"/>
      <c r="B3" s="40"/>
      <c r="C3" s="40"/>
      <c r="D3" s="40"/>
      <c r="E3" s="40"/>
      <c r="F3" s="36"/>
      <c r="G3" s="20"/>
      <c r="H3" s="20"/>
      <c r="I3" s="20"/>
      <c r="J3" s="20"/>
      <c r="K3" s="20"/>
      <c r="L3" s="20"/>
      <c r="M3" s="20"/>
      <c r="N3" s="20"/>
      <c r="O3" s="20"/>
      <c r="P3" s="20"/>
      <c r="Q3" s="36"/>
      <c r="R3" s="36"/>
      <c r="S3" s="36"/>
      <c r="T3" s="67"/>
      <c r="U3" s="67"/>
      <c r="V3" s="67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</row>
    <row r="4" spans="1:126" ht="50" customHeight="1">
      <c r="A4" s="40"/>
      <c r="B4" s="40"/>
      <c r="C4" s="40"/>
      <c r="D4" s="40"/>
      <c r="E4" s="40"/>
      <c r="F4" s="36"/>
      <c r="G4" s="20"/>
      <c r="H4" s="20"/>
      <c r="I4" s="60"/>
      <c r="J4" s="60"/>
      <c r="K4" s="20"/>
      <c r="L4" s="20"/>
      <c r="M4" s="60"/>
      <c r="N4" s="60"/>
      <c r="O4" s="24"/>
      <c r="P4" s="24"/>
      <c r="Q4" s="67"/>
      <c r="R4" s="36"/>
      <c r="S4" s="36"/>
      <c r="T4" s="21"/>
      <c r="U4" s="21"/>
      <c r="V4" s="67"/>
      <c r="W4" s="67"/>
      <c r="X4" s="67"/>
      <c r="Y4" s="67"/>
      <c r="Z4" s="67"/>
      <c r="AA4" s="67"/>
      <c r="AB4" s="67"/>
      <c r="AC4" s="67"/>
      <c r="AD4" s="67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</row>
    <row r="5" spans="1:126" ht="50" customHeight="1">
      <c r="A5" s="40"/>
      <c r="B5" s="40"/>
      <c r="C5" s="40"/>
      <c r="D5" s="40"/>
      <c r="E5" s="40"/>
      <c r="F5" s="36"/>
      <c r="G5" s="20"/>
      <c r="H5" s="20"/>
      <c r="I5" s="60"/>
      <c r="J5" s="60"/>
      <c r="K5" s="20"/>
      <c r="L5" s="20"/>
      <c r="M5" s="60"/>
      <c r="N5" s="60"/>
      <c r="O5" s="24"/>
      <c r="P5" s="24"/>
      <c r="Q5" s="67"/>
      <c r="R5" s="37"/>
      <c r="S5" s="36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</row>
    <row r="6" spans="1:126" ht="50" customHeight="1">
      <c r="A6" s="40"/>
      <c r="B6" s="40"/>
      <c r="C6" s="40"/>
      <c r="D6" s="40"/>
      <c r="E6" s="40"/>
      <c r="F6" s="36"/>
      <c r="G6" s="20"/>
      <c r="H6" s="20"/>
      <c r="I6" s="60"/>
      <c r="J6" s="60"/>
      <c r="K6" s="20"/>
      <c r="L6" s="20"/>
      <c r="M6" s="60"/>
      <c r="N6" s="60"/>
      <c r="O6" s="60"/>
      <c r="P6" s="60"/>
      <c r="Q6" s="38"/>
      <c r="R6" s="39"/>
      <c r="S6" s="36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</row>
    <row r="7" spans="1:126" ht="50" customHeight="1">
      <c r="A7" s="40"/>
      <c r="B7" s="40"/>
      <c r="C7" s="40"/>
      <c r="D7" s="40"/>
      <c r="E7" s="40"/>
      <c r="F7" s="36"/>
      <c r="G7" s="20"/>
      <c r="H7" s="20"/>
      <c r="I7" s="60"/>
      <c r="J7" s="60"/>
      <c r="K7" s="20"/>
      <c r="L7" s="20"/>
      <c r="M7" s="60"/>
      <c r="N7" s="60"/>
      <c r="O7" s="60"/>
      <c r="P7" s="60"/>
      <c r="Q7" s="38"/>
      <c r="R7" s="39"/>
      <c r="S7" s="36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</row>
    <row r="8" spans="1:126" ht="50" customHeight="1">
      <c r="A8" s="40"/>
      <c r="B8" s="40"/>
      <c r="C8" s="40"/>
      <c r="D8" s="40"/>
      <c r="E8" s="40"/>
      <c r="F8" s="36"/>
      <c r="G8" s="20"/>
      <c r="H8" s="20"/>
      <c r="I8" s="60"/>
      <c r="J8" s="60"/>
      <c r="K8" s="20"/>
      <c r="L8" s="20"/>
      <c r="M8" s="60"/>
      <c r="N8" s="60"/>
      <c r="O8" s="60"/>
      <c r="P8" s="60"/>
      <c r="Q8" s="38"/>
      <c r="R8" s="39"/>
      <c r="S8" s="36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</row>
    <row r="9" spans="1:126" ht="50" customHeight="1">
      <c r="A9" s="40"/>
      <c r="B9" s="40"/>
      <c r="C9" s="40"/>
      <c r="D9" s="40"/>
      <c r="E9" s="40"/>
      <c r="F9" s="36"/>
      <c r="G9" s="20"/>
      <c r="H9" s="20"/>
      <c r="I9" s="60"/>
      <c r="J9" s="60"/>
      <c r="K9" s="20"/>
      <c r="L9" s="20"/>
      <c r="M9" s="60"/>
      <c r="N9" s="60"/>
      <c r="O9" s="60"/>
      <c r="P9" s="60"/>
      <c r="Q9" s="38"/>
      <c r="R9" s="39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</row>
    <row r="10" spans="1:126" ht="50" customHeight="1">
      <c r="A10" s="40"/>
      <c r="B10" s="40"/>
      <c r="C10" s="40"/>
      <c r="D10" s="40"/>
      <c r="E10" s="40"/>
      <c r="F10" s="36"/>
      <c r="G10" s="20"/>
      <c r="H10" s="20"/>
      <c r="I10" s="60"/>
      <c r="J10" s="60"/>
      <c r="K10" s="20"/>
      <c r="L10" s="20"/>
      <c r="M10" s="60"/>
      <c r="N10" s="60"/>
      <c r="O10" s="60"/>
      <c r="P10" s="60"/>
      <c r="Q10" s="38"/>
      <c r="R10" s="39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</row>
    <row r="11" spans="1:126" ht="50" customHeight="1">
      <c r="A11" s="40"/>
      <c r="B11" s="40"/>
      <c r="C11" s="40"/>
      <c r="D11" s="40"/>
      <c r="E11" s="40"/>
      <c r="F11" s="36"/>
      <c r="G11" s="20"/>
      <c r="H11" s="20"/>
      <c r="I11" s="60"/>
      <c r="J11" s="60"/>
      <c r="K11" s="20"/>
      <c r="L11" s="20"/>
      <c r="M11" s="60"/>
      <c r="N11" s="60"/>
      <c r="O11" s="60"/>
      <c r="P11" s="60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</row>
    <row r="12" spans="1:126" ht="50" customHeight="1">
      <c r="A12" s="40"/>
      <c r="B12" s="40"/>
      <c r="C12" s="40"/>
      <c r="D12" s="40"/>
      <c r="E12" s="40"/>
      <c r="F12" s="36"/>
      <c r="G12" s="36"/>
      <c r="H12" s="36"/>
      <c r="I12" s="36"/>
      <c r="J12" s="36"/>
      <c r="K12" s="35"/>
      <c r="L12" s="35"/>
      <c r="M12" s="35"/>
      <c r="N12" s="35"/>
      <c r="O12" s="35"/>
      <c r="P12" s="35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</row>
    <row r="13" spans="1:126" ht="50" customHeight="1">
      <c r="A13" s="40"/>
      <c r="B13" s="40"/>
      <c r="C13" s="40"/>
      <c r="D13" s="40"/>
      <c r="E13" s="40"/>
      <c r="F13" s="36"/>
      <c r="G13" s="36"/>
      <c r="H13" s="36"/>
      <c r="I13" s="36"/>
      <c r="J13" s="36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</row>
    <row r="14" spans="1:126" ht="50" customHeight="1">
      <c r="A14" s="40"/>
      <c r="B14" s="40"/>
      <c r="C14" s="40"/>
      <c r="D14" s="40"/>
      <c r="E14" s="40"/>
      <c r="F14" s="36"/>
      <c r="G14" s="36"/>
      <c r="H14" s="36"/>
      <c r="I14" s="36"/>
      <c r="J14" s="36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</row>
    <row r="15" spans="1:126" ht="50" customHeight="1">
      <c r="A15" s="40"/>
      <c r="B15" s="40"/>
      <c r="C15" s="40"/>
      <c r="D15" s="40"/>
      <c r="E15" s="40"/>
      <c r="F15" s="36"/>
      <c r="G15" s="36"/>
      <c r="H15" s="36"/>
      <c r="I15" s="36"/>
      <c r="J15" s="36"/>
      <c r="K15" s="21"/>
      <c r="L15" s="21"/>
      <c r="M15" s="21"/>
      <c r="N15" s="21"/>
      <c r="O15" s="21"/>
      <c r="P15" s="21"/>
      <c r="Q15" s="45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43"/>
      <c r="AE15" s="43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</row>
    <row r="16" spans="1:126" ht="50" customHeight="1">
      <c r="A16" s="40"/>
      <c r="B16" s="40"/>
      <c r="C16" s="40"/>
      <c r="D16" s="40"/>
      <c r="E16" s="40"/>
      <c r="F16" s="36"/>
      <c r="G16" s="36"/>
      <c r="H16" s="36"/>
      <c r="I16" s="36"/>
      <c r="J16" s="36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43"/>
      <c r="AE16" s="43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</row>
    <row r="17" spans="1:126" ht="50" customHeight="1">
      <c r="A17" s="40"/>
      <c r="B17" s="40"/>
      <c r="C17" s="40"/>
      <c r="D17" s="40"/>
      <c r="E17" s="40"/>
      <c r="F17" s="36"/>
      <c r="G17" s="36"/>
      <c r="H17" s="36"/>
      <c r="I17" s="36"/>
      <c r="J17" s="36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43"/>
      <c r="AE17" s="43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</row>
    <row r="18" spans="1:126" ht="50" customHeight="1">
      <c r="A18" s="40"/>
      <c r="B18" s="40"/>
      <c r="C18" s="40"/>
      <c r="D18" s="40"/>
      <c r="E18" s="40"/>
      <c r="F18" s="36"/>
      <c r="G18" s="36"/>
      <c r="H18" s="36"/>
      <c r="I18" s="36"/>
      <c r="J18" s="36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43"/>
      <c r="AE18" s="43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</row>
    <row r="19" spans="1:126" ht="50" customHeight="1">
      <c r="A19" s="40"/>
      <c r="B19" s="40"/>
      <c r="C19" s="40"/>
      <c r="D19" s="40"/>
      <c r="E19" s="40"/>
      <c r="F19" s="36"/>
      <c r="G19" s="36"/>
      <c r="H19" s="36"/>
      <c r="I19" s="36"/>
      <c r="J19" s="36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43"/>
      <c r="AE19" s="43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</row>
    <row r="20" spans="1:126" ht="50" customHeight="1">
      <c r="A20" s="40"/>
      <c r="B20" s="40"/>
      <c r="C20" s="40"/>
      <c r="D20" s="40"/>
      <c r="E20" s="40"/>
      <c r="F20" s="36"/>
      <c r="G20" s="36"/>
      <c r="H20" s="36"/>
      <c r="I20" s="36"/>
      <c r="J20" s="36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43"/>
      <c r="AE20" s="43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</row>
    <row r="21" spans="1:126" ht="50" customHeight="1">
      <c r="A21" s="40"/>
      <c r="B21" s="40"/>
      <c r="C21" s="40"/>
      <c r="D21" s="40"/>
      <c r="E21" s="44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43"/>
      <c r="AE21" s="43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</row>
    <row r="22" spans="1:126" ht="50" customHeight="1">
      <c r="A22" s="40"/>
      <c r="B22" s="40"/>
      <c r="C22" s="40"/>
      <c r="D22" s="40"/>
      <c r="E22" s="44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43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</row>
    <row r="23" spans="1:126" ht="50" customHeight="1">
      <c r="A23" s="40"/>
      <c r="B23" s="40"/>
      <c r="C23" s="40"/>
      <c r="D23" s="40"/>
      <c r="E23" s="44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46"/>
      <c r="AB23" s="46"/>
      <c r="AC23" s="46"/>
      <c r="AD23" s="46"/>
      <c r="AE23" s="4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</row>
    <row r="24" spans="1:126" ht="50" customHeight="1">
      <c r="A24" s="40"/>
      <c r="B24" s="40"/>
      <c r="C24" s="40"/>
      <c r="D24" s="40"/>
      <c r="E24" s="44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46"/>
      <c r="AB24" s="46"/>
      <c r="AC24" s="46"/>
      <c r="AD24" s="46"/>
      <c r="AE24" s="4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</row>
    <row r="25" spans="1:126" ht="50" customHeight="1">
      <c r="A25" s="40"/>
      <c r="B25" s="40"/>
      <c r="C25" s="40"/>
      <c r="D25" s="40"/>
      <c r="E25" s="44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43"/>
      <c r="AE25" s="43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</row>
    <row r="26" spans="1:126" ht="50" customHeight="1">
      <c r="A26" s="40"/>
      <c r="B26" s="40"/>
      <c r="C26" s="40"/>
      <c r="D26" s="40"/>
      <c r="E26" s="44"/>
      <c r="F26" s="21"/>
      <c r="G26" s="21"/>
      <c r="H26" s="21"/>
      <c r="I26" s="21"/>
      <c r="J26" s="21"/>
      <c r="K26" s="43"/>
      <c r="L26" s="43"/>
      <c r="M26" s="43"/>
      <c r="N26" s="43"/>
      <c r="O26" s="43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43"/>
      <c r="AE26" s="43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</row>
    <row r="27" spans="1:126" ht="50" customHeight="1">
      <c r="A27" s="40"/>
      <c r="B27" s="40"/>
      <c r="C27" s="40"/>
      <c r="D27" s="40"/>
      <c r="E27" s="44"/>
      <c r="F27" s="21"/>
      <c r="G27" s="21"/>
      <c r="H27" s="21"/>
      <c r="I27" s="21"/>
      <c r="J27" s="21"/>
      <c r="K27" s="43"/>
      <c r="L27" s="21"/>
      <c r="M27" s="21"/>
      <c r="N27" s="21"/>
      <c r="O27" s="43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43"/>
      <c r="AE27" s="43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</row>
    <row r="28" spans="1:126" ht="50" customHeight="1">
      <c r="A28" s="40"/>
      <c r="B28" s="40"/>
      <c r="C28" s="40"/>
      <c r="D28" s="40"/>
      <c r="E28" s="44"/>
      <c r="F28" s="21"/>
      <c r="G28" s="43"/>
      <c r="H28" s="43"/>
      <c r="I28" s="43"/>
      <c r="J28" s="21"/>
      <c r="K28" s="21"/>
      <c r="L28" s="21"/>
      <c r="M28" s="21"/>
      <c r="N28" s="21"/>
      <c r="O28" s="21"/>
      <c r="P28" s="21"/>
      <c r="Q28" s="43"/>
      <c r="R28" s="43"/>
      <c r="S28" s="43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43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</row>
    <row r="29" spans="1:126" ht="50" customHeight="1">
      <c r="A29" s="40"/>
      <c r="B29" s="40"/>
      <c r="C29" s="40"/>
      <c r="D29" s="40"/>
      <c r="E29" s="44"/>
      <c r="F29" s="21"/>
      <c r="G29" s="21"/>
      <c r="H29" s="21"/>
      <c r="I29" s="21"/>
      <c r="J29" s="43"/>
      <c r="K29" s="21"/>
      <c r="L29" s="21"/>
      <c r="M29" s="21"/>
      <c r="N29" s="21"/>
      <c r="O29" s="22"/>
      <c r="P29" s="22"/>
      <c r="Q29" s="43"/>
      <c r="R29" s="43"/>
      <c r="S29" s="43"/>
      <c r="T29" s="43"/>
      <c r="U29" s="43"/>
      <c r="V29" s="21"/>
      <c r="W29" s="21"/>
      <c r="X29" s="21"/>
      <c r="Y29" s="21"/>
      <c r="Z29" s="21"/>
      <c r="AA29" s="47"/>
      <c r="AB29" s="47"/>
      <c r="AC29" s="47"/>
      <c r="AD29" s="47"/>
      <c r="AE29" s="47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</row>
    <row r="30" spans="1:126" ht="50" customHeight="1">
      <c r="A30" s="40"/>
      <c r="B30" s="40"/>
      <c r="C30" s="40"/>
      <c r="D30" s="40"/>
      <c r="E30" s="40"/>
      <c r="F30" s="43"/>
      <c r="G30" s="21"/>
      <c r="H30" s="21"/>
      <c r="I30" s="21"/>
      <c r="J30" s="43"/>
      <c r="K30" s="43"/>
      <c r="L30" s="21"/>
      <c r="M30" s="21"/>
      <c r="N30" s="21"/>
      <c r="O30" s="22"/>
      <c r="P30" s="22"/>
      <c r="Q30" s="21"/>
      <c r="R30" s="21"/>
      <c r="S30" s="22"/>
      <c r="T30" s="22"/>
      <c r="U30" s="22"/>
      <c r="V30" s="21"/>
      <c r="W30" s="21"/>
      <c r="X30" s="21"/>
      <c r="Y30" s="43"/>
      <c r="Z30" s="43"/>
      <c r="AA30" s="47"/>
      <c r="AB30" s="47"/>
      <c r="AC30" s="47"/>
      <c r="AD30" s="47"/>
      <c r="AE30" s="47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</row>
    <row r="31" spans="1:126" ht="50" customHeight="1">
      <c r="A31" s="40"/>
      <c r="B31" s="40"/>
      <c r="C31" s="40"/>
      <c r="D31" s="40"/>
      <c r="E31" s="40"/>
      <c r="F31" s="43"/>
      <c r="G31" s="21"/>
      <c r="H31" s="21"/>
      <c r="I31" s="21"/>
      <c r="J31" s="36"/>
      <c r="K31" s="36"/>
      <c r="L31" s="21"/>
      <c r="M31" s="21"/>
      <c r="N31" s="21"/>
      <c r="O31" s="22"/>
      <c r="P31" s="22"/>
      <c r="Q31" s="21"/>
      <c r="R31" s="21"/>
      <c r="S31" s="22"/>
      <c r="T31" s="22"/>
      <c r="U31" s="22"/>
      <c r="V31" s="22"/>
      <c r="W31" s="43"/>
      <c r="X31" s="43"/>
      <c r="Y31" s="43"/>
      <c r="Z31" s="43"/>
      <c r="AA31" s="43"/>
      <c r="AB31" s="43"/>
      <c r="AC31" s="43"/>
      <c r="AD31" s="43"/>
      <c r="AE31" s="43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</row>
    <row r="32" spans="1:126" ht="50" customHeight="1">
      <c r="A32" s="40"/>
      <c r="B32" s="40"/>
      <c r="C32" s="40"/>
      <c r="D32" s="40"/>
      <c r="E32" s="40"/>
      <c r="F32" s="43"/>
      <c r="G32" s="43"/>
      <c r="H32" s="43"/>
      <c r="I32" s="43"/>
      <c r="J32" s="21"/>
      <c r="K32" s="21"/>
      <c r="L32" s="43"/>
      <c r="M32" s="43"/>
      <c r="N32" s="43"/>
      <c r="O32" s="22"/>
      <c r="P32" s="22"/>
      <c r="Q32" s="43"/>
      <c r="R32" s="43"/>
      <c r="S32" s="22"/>
      <c r="T32" s="22"/>
      <c r="U32" s="22"/>
      <c r="V32" s="22"/>
      <c r="W32" s="43"/>
      <c r="X32" s="43"/>
      <c r="Y32" s="43"/>
      <c r="Z32" s="43"/>
      <c r="AA32" s="43"/>
      <c r="AB32" s="43"/>
      <c r="AC32" s="43"/>
      <c r="AD32" s="43"/>
      <c r="AE32" s="43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</row>
    <row r="33" spans="1:126" ht="50" customHeight="1">
      <c r="A33" s="40"/>
      <c r="B33" s="40"/>
      <c r="C33" s="40"/>
      <c r="D33" s="40"/>
      <c r="E33" s="40"/>
      <c r="F33" s="43"/>
      <c r="G33" s="43"/>
      <c r="H33" s="43"/>
      <c r="I33" s="43"/>
      <c r="J33" s="21"/>
      <c r="K33" s="21"/>
      <c r="L33" s="43"/>
      <c r="M33" s="43"/>
      <c r="N33" s="43"/>
      <c r="O33" s="21"/>
      <c r="P33" s="21"/>
      <c r="Q33" s="43"/>
      <c r="R33" s="43"/>
      <c r="S33" s="22"/>
      <c r="T33" s="22"/>
      <c r="U33" s="22"/>
      <c r="V33" s="22"/>
      <c r="W33" s="43"/>
      <c r="X33" s="43"/>
      <c r="Y33" s="43"/>
      <c r="Z33" s="43"/>
      <c r="AA33" s="43"/>
      <c r="AB33" s="43"/>
      <c r="AC33" s="43"/>
      <c r="AD33" s="43"/>
      <c r="AE33" s="43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</row>
    <row r="34" spans="1:126" ht="50" customHeight="1">
      <c r="A34" s="40"/>
      <c r="B34" s="40"/>
      <c r="C34" s="40"/>
      <c r="D34" s="40"/>
      <c r="E34" s="40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</row>
    <row r="35" spans="1:126" ht="50" customHeight="1">
      <c r="A35" s="40"/>
      <c r="B35" s="40"/>
      <c r="C35" s="40"/>
      <c r="D35" s="40"/>
      <c r="E35" s="40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</row>
    <row r="36" spans="1:126" ht="50" customHeight="1">
      <c r="A36" s="40"/>
      <c r="B36" s="40"/>
      <c r="C36" s="40"/>
      <c r="D36" s="40"/>
      <c r="E36" s="40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</row>
    <row r="37" spans="1:126" ht="50" customHeight="1">
      <c r="A37" s="40"/>
      <c r="B37" s="40"/>
      <c r="C37" s="40"/>
      <c r="D37" s="40"/>
      <c r="E37" s="40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</row>
    <row r="38" spans="1:126" ht="50" customHeight="1">
      <c r="A38" s="40"/>
      <c r="B38" s="40"/>
      <c r="C38" s="40"/>
      <c r="D38" s="40"/>
      <c r="E38" s="40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</row>
    <row r="39" spans="1:126" ht="50" customHeight="1">
      <c r="A39" s="40"/>
      <c r="B39" s="40"/>
      <c r="C39" s="40"/>
      <c r="D39" s="40"/>
      <c r="E39" s="40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</row>
    <row r="40" spans="1:126" ht="50" customHeight="1">
      <c r="A40" s="40"/>
      <c r="B40" s="40"/>
      <c r="C40" s="40"/>
      <c r="D40" s="40"/>
      <c r="E40" s="40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</row>
    <row r="41" spans="1:126" ht="50" customHeight="1">
      <c r="A41" s="40"/>
      <c r="B41" s="40"/>
      <c r="C41" s="40"/>
      <c r="D41" s="40"/>
      <c r="E41" s="40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</row>
    <row r="42" spans="1:126" ht="50" customHeight="1">
      <c r="A42" s="40"/>
      <c r="B42" s="40"/>
      <c r="C42" s="40"/>
      <c r="D42" s="40"/>
      <c r="E42" s="40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</row>
    <row r="43" spans="1:126" ht="50" customHeight="1">
      <c r="A43" s="40"/>
      <c r="B43" s="40"/>
      <c r="C43" s="40"/>
      <c r="D43" s="40"/>
      <c r="E43" s="40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</row>
    <row r="44" spans="1:126" ht="50" customHeight="1">
      <c r="A44" s="40"/>
      <c r="B44" s="40"/>
      <c r="C44" s="40"/>
      <c r="D44" s="40"/>
      <c r="E44" s="40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</row>
    <row r="45" spans="1:126" ht="50" customHeight="1">
      <c r="A45" s="40"/>
      <c r="B45" s="40"/>
      <c r="C45" s="40"/>
      <c r="D45" s="40"/>
      <c r="E45" s="40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</row>
    <row r="46" spans="1:126" ht="50" customHeight="1">
      <c r="A46" s="40"/>
      <c r="B46" s="40"/>
      <c r="C46" s="40"/>
      <c r="D46" s="40"/>
      <c r="E46" s="40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</row>
    <row r="47" spans="1:126" ht="50" customHeight="1">
      <c r="A47" s="40"/>
      <c r="B47" s="40"/>
      <c r="C47" s="40"/>
      <c r="D47" s="40"/>
      <c r="E47" s="40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</row>
    <row r="48" spans="1:126" ht="50" customHeight="1">
      <c r="A48" s="40"/>
      <c r="B48" s="40"/>
      <c r="C48" s="40"/>
      <c r="D48" s="40"/>
      <c r="E48" s="40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</row>
    <row r="49" spans="1:126" ht="50" customHeight="1">
      <c r="A49" s="40"/>
      <c r="B49" s="40"/>
      <c r="C49" s="40"/>
      <c r="D49" s="40"/>
      <c r="E49" s="40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</row>
    <row r="50" spans="1:126" ht="50" customHeight="1">
      <c r="A50" s="40"/>
      <c r="B50" s="40"/>
      <c r="C50" s="40"/>
      <c r="D50" s="40"/>
      <c r="E50" s="40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</row>
    <row r="51" spans="1:126" ht="50" customHeight="1">
      <c r="A51" s="40"/>
      <c r="B51" s="40"/>
      <c r="C51" s="40"/>
      <c r="D51" s="40"/>
      <c r="E51" s="40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</row>
    <row r="52" spans="1:126" ht="50" customHeight="1">
      <c r="A52" s="40"/>
      <c r="B52" s="40"/>
      <c r="C52" s="40"/>
      <c r="D52" s="40"/>
      <c r="E52" s="40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</row>
    <row r="53" spans="1:126" ht="50" customHeight="1">
      <c r="A53" s="40"/>
      <c r="B53" s="40"/>
      <c r="C53" s="40"/>
      <c r="D53" s="40"/>
      <c r="E53" s="40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</row>
    <row r="54" spans="1:126" ht="50" customHeight="1">
      <c r="A54" s="40"/>
      <c r="B54" s="40"/>
      <c r="C54" s="40"/>
      <c r="D54" s="40"/>
      <c r="E54" s="40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</row>
    <row r="55" spans="1:126" ht="50" customHeight="1">
      <c r="A55" s="40"/>
      <c r="B55" s="40"/>
      <c r="C55" s="40"/>
      <c r="D55" s="40"/>
      <c r="E55" s="40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</row>
    <row r="56" spans="1:126" ht="50" customHeight="1">
      <c r="A56" s="40"/>
      <c r="B56" s="40"/>
      <c r="C56" s="40"/>
      <c r="D56" s="40"/>
      <c r="E56" s="40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</row>
    <row r="57" spans="1:126" ht="50" customHeight="1">
      <c r="A57" s="40"/>
      <c r="B57" s="40"/>
      <c r="C57" s="40"/>
      <c r="D57" s="40"/>
      <c r="E57" s="40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</row>
    <row r="58" spans="1:126" ht="50" customHeight="1">
      <c r="A58" s="40"/>
      <c r="B58" s="40"/>
      <c r="C58" s="40"/>
      <c r="D58" s="40"/>
      <c r="E58" s="40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</row>
    <row r="59" spans="1:126" ht="50" customHeight="1">
      <c r="A59" s="40"/>
      <c r="B59" s="40"/>
      <c r="C59" s="40"/>
      <c r="D59" s="40"/>
      <c r="E59" s="40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</row>
    <row r="60" spans="1:126" ht="50" customHeight="1">
      <c r="A60" s="40"/>
      <c r="B60" s="40"/>
      <c r="C60" s="40"/>
      <c r="D60" s="40"/>
      <c r="E60" s="40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</row>
    <row r="61" spans="1:126" ht="50" customHeight="1">
      <c r="A61" s="40"/>
      <c r="B61" s="40"/>
      <c r="C61" s="40"/>
      <c r="D61" s="40"/>
      <c r="E61" s="40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</row>
    <row r="62" spans="1:126" ht="50" customHeight="1">
      <c r="A62" s="40"/>
      <c r="B62" s="40"/>
      <c r="C62" s="40"/>
      <c r="D62" s="40"/>
      <c r="E62" s="40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</row>
    <row r="63" spans="1:126" ht="50" customHeight="1">
      <c r="A63" s="40"/>
      <c r="B63" s="40"/>
      <c r="C63" s="40"/>
      <c r="D63" s="40"/>
      <c r="E63" s="40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</row>
    <row r="64" spans="1:126" ht="50" customHeight="1">
      <c r="A64" s="40"/>
      <c r="B64" s="40"/>
      <c r="C64" s="40"/>
      <c r="D64" s="40"/>
      <c r="E64" s="40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</row>
    <row r="65" spans="1:126" ht="50" customHeight="1">
      <c r="A65" s="40"/>
      <c r="B65" s="40"/>
      <c r="C65" s="40"/>
      <c r="D65" s="40"/>
      <c r="E65" s="40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</row>
    <row r="66" spans="1:126" ht="50" customHeight="1">
      <c r="A66" s="40"/>
      <c r="B66" s="40"/>
      <c r="C66" s="40"/>
      <c r="D66" s="40"/>
      <c r="E66" s="40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</row>
    <row r="67" spans="1:126" ht="50" customHeight="1">
      <c r="A67" s="40"/>
      <c r="B67" s="40"/>
      <c r="C67" s="40"/>
      <c r="D67" s="40"/>
      <c r="E67" s="40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</row>
    <row r="68" spans="1:126" ht="50" customHeight="1">
      <c r="A68" s="40"/>
      <c r="B68" s="40"/>
      <c r="C68" s="40"/>
      <c r="D68" s="40"/>
      <c r="E68" s="40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</row>
    <row r="69" spans="1:126" ht="50" customHeight="1">
      <c r="A69" s="40"/>
      <c r="B69" s="40"/>
      <c r="C69" s="40"/>
      <c r="D69" s="40"/>
      <c r="E69" s="40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</row>
    <row r="70" spans="1:126" ht="50" customHeight="1">
      <c r="A70" s="40"/>
      <c r="B70" s="40"/>
      <c r="C70" s="40"/>
      <c r="D70" s="40"/>
      <c r="E70" s="40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</row>
    <row r="71" spans="1:126" ht="50" customHeight="1">
      <c r="A71" s="40"/>
      <c r="B71" s="40"/>
      <c r="C71" s="40"/>
      <c r="D71" s="40"/>
      <c r="E71" s="40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</row>
    <row r="72" spans="1:126" ht="50" customHeight="1">
      <c r="A72" s="40"/>
      <c r="B72" s="40"/>
      <c r="C72" s="40"/>
      <c r="D72" s="40"/>
      <c r="E72" s="40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</row>
    <row r="73" spans="1:126" ht="50" customHeight="1">
      <c r="A73" s="40"/>
      <c r="B73" s="40"/>
      <c r="C73" s="40"/>
      <c r="D73" s="40"/>
      <c r="E73" s="40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</row>
    <row r="74" spans="1:126" ht="50" customHeight="1">
      <c r="A74" s="40"/>
      <c r="B74" s="40"/>
      <c r="C74" s="40"/>
      <c r="D74" s="40"/>
      <c r="E74" s="40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</row>
    <row r="75" spans="1:126" ht="50" customHeight="1">
      <c r="A75" s="40"/>
      <c r="B75" s="40"/>
      <c r="C75" s="40"/>
      <c r="D75" s="40"/>
      <c r="E75" s="40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</row>
    <row r="76" spans="1:126" ht="50" customHeight="1">
      <c r="A76" s="40"/>
      <c r="B76" s="40"/>
      <c r="C76" s="40"/>
      <c r="D76" s="40"/>
      <c r="E76" s="40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</row>
    <row r="77" spans="1:126" ht="50" customHeight="1">
      <c r="A77" s="40"/>
      <c r="B77" s="40"/>
      <c r="C77" s="40"/>
      <c r="D77" s="40"/>
      <c r="E77" s="40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</row>
    <row r="78" spans="1:126" ht="50" customHeight="1">
      <c r="A78" s="40"/>
      <c r="B78" s="40"/>
      <c r="C78" s="40"/>
      <c r="D78" s="40"/>
      <c r="E78" s="40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</row>
    <row r="79" spans="1:126" ht="50" customHeight="1">
      <c r="A79" s="40"/>
      <c r="B79" s="40"/>
      <c r="C79" s="40"/>
      <c r="D79" s="40"/>
      <c r="E79" s="40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</row>
    <row r="80" spans="1:126" ht="50" customHeight="1">
      <c r="A80" s="40"/>
      <c r="B80" s="40"/>
      <c r="C80" s="40"/>
      <c r="D80" s="40"/>
      <c r="E80" s="40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</row>
    <row r="81" spans="1:126" ht="50" customHeight="1">
      <c r="A81" s="40"/>
      <c r="B81" s="40"/>
      <c r="C81" s="40"/>
      <c r="D81" s="40"/>
      <c r="E81" s="40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</row>
    <row r="82" spans="1:126" ht="50" customHeight="1">
      <c r="A82" s="40"/>
      <c r="B82" s="40"/>
      <c r="C82" s="40"/>
      <c r="D82" s="40"/>
      <c r="E82" s="40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</row>
    <row r="83" spans="1:126" ht="50" customHeight="1">
      <c r="A83" s="40"/>
      <c r="B83" s="40"/>
      <c r="C83" s="40"/>
      <c r="D83" s="40"/>
      <c r="E83" s="40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</row>
    <row r="84" spans="1:126" ht="50" customHeight="1">
      <c r="A84" s="40"/>
      <c r="B84" s="40"/>
      <c r="C84" s="40"/>
      <c r="D84" s="40"/>
      <c r="E84" s="40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</row>
    <row r="85" spans="1:126" ht="50" customHeight="1">
      <c r="A85" s="40"/>
      <c r="B85" s="40"/>
      <c r="C85" s="40"/>
      <c r="D85" s="40"/>
      <c r="E85" s="40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</row>
    <row r="86" spans="1:126" ht="50" customHeight="1">
      <c r="A86" s="40"/>
      <c r="B86" s="40"/>
      <c r="C86" s="40"/>
      <c r="D86" s="40"/>
      <c r="E86" s="40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</row>
    <row r="87" spans="1:126" ht="50" customHeight="1">
      <c r="A87" s="40"/>
      <c r="B87" s="40"/>
      <c r="C87" s="40"/>
      <c r="D87" s="40"/>
      <c r="E87" s="40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</row>
    <row r="88" spans="1:126" ht="50" customHeight="1">
      <c r="A88" s="40"/>
      <c r="B88" s="40"/>
      <c r="C88" s="40"/>
      <c r="D88" s="40"/>
      <c r="E88" s="40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</row>
    <row r="89" spans="1:126" ht="50" customHeight="1">
      <c r="A89" s="40"/>
      <c r="B89" s="40"/>
      <c r="C89" s="40"/>
      <c r="D89" s="40"/>
      <c r="E89" s="40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</row>
    <row r="90" spans="1:126" ht="50" customHeight="1">
      <c r="A90" s="40"/>
      <c r="B90" s="40"/>
      <c r="C90" s="40"/>
      <c r="D90" s="40"/>
      <c r="E90" s="40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</row>
    <row r="91" spans="1:126" ht="50" customHeight="1">
      <c r="A91" s="40"/>
      <c r="B91" s="40"/>
      <c r="C91" s="40"/>
      <c r="D91" s="40"/>
      <c r="E91" s="40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</row>
    <row r="92" spans="1:126" ht="50" customHeight="1">
      <c r="A92" s="40"/>
      <c r="B92" s="40"/>
      <c r="C92" s="40"/>
      <c r="D92" s="40"/>
      <c r="E92" s="40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</row>
    <row r="93" spans="1:126" ht="50" customHeight="1">
      <c r="A93" s="40"/>
      <c r="B93" s="40"/>
      <c r="C93" s="40"/>
      <c r="D93" s="40"/>
      <c r="E93" s="40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</row>
    <row r="94" spans="1:126" ht="50" customHeight="1">
      <c r="A94" s="40"/>
      <c r="B94" s="40"/>
      <c r="C94" s="40"/>
      <c r="D94" s="40"/>
      <c r="E94" s="40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</row>
    <row r="95" spans="1:126" ht="50" customHeight="1">
      <c r="A95" s="40"/>
      <c r="B95" s="40"/>
      <c r="C95" s="40"/>
      <c r="D95" s="40"/>
      <c r="E95" s="40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</row>
    <row r="96" spans="1:126" ht="50" customHeight="1">
      <c r="A96" s="40"/>
      <c r="B96" s="40"/>
      <c r="C96" s="40"/>
      <c r="D96" s="40"/>
      <c r="E96" s="40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</row>
    <row r="97" spans="1:126" ht="50" customHeight="1">
      <c r="A97" s="40"/>
      <c r="B97" s="40"/>
      <c r="C97" s="40"/>
      <c r="D97" s="40"/>
      <c r="E97" s="40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</row>
    <row r="98" spans="1:126" ht="50" customHeight="1">
      <c r="A98" s="40"/>
      <c r="B98" s="40"/>
      <c r="C98" s="40"/>
      <c r="D98" s="40"/>
      <c r="E98" s="40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</row>
    <row r="99" spans="1:126" ht="50" customHeight="1">
      <c r="A99" s="40"/>
      <c r="B99" s="40"/>
      <c r="C99" s="40"/>
      <c r="D99" s="40"/>
      <c r="E99" s="40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</row>
    <row r="100" spans="1:126" ht="50" customHeight="1">
      <c r="A100" s="40"/>
      <c r="B100" s="40"/>
      <c r="C100" s="40"/>
      <c r="D100" s="40"/>
      <c r="E100" s="40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</row>
    <row r="101" spans="1:126" ht="50" customHeight="1">
      <c r="A101" s="40"/>
      <c r="B101" s="40"/>
      <c r="C101" s="40"/>
      <c r="D101" s="40"/>
      <c r="E101" s="40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</row>
    <row r="102" spans="1:126" ht="50" customHeight="1">
      <c r="A102" s="40"/>
      <c r="B102" s="40"/>
      <c r="C102" s="40"/>
      <c r="D102" s="40"/>
      <c r="E102" s="40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/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</row>
    <row r="103" spans="1:126" ht="50" customHeight="1">
      <c r="A103" s="40"/>
      <c r="B103" s="40"/>
      <c r="C103" s="40"/>
      <c r="D103" s="40"/>
      <c r="E103" s="40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</row>
    <row r="104" spans="1:126" ht="50" customHeight="1">
      <c r="A104" s="40"/>
      <c r="B104" s="40"/>
      <c r="C104" s="40"/>
      <c r="D104" s="40"/>
      <c r="E104" s="40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</row>
    <row r="105" spans="1:126" ht="50" customHeight="1">
      <c r="A105" s="40"/>
      <c r="B105" s="40"/>
      <c r="C105" s="40"/>
      <c r="D105" s="40"/>
      <c r="E105" s="40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</row>
    <row r="106" spans="1:126" ht="50" customHeight="1">
      <c r="A106" s="40"/>
      <c r="B106" s="40"/>
      <c r="C106" s="40"/>
      <c r="D106" s="40"/>
      <c r="E106" s="40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</row>
    <row r="107" spans="1:126" ht="50" customHeight="1">
      <c r="A107" s="40"/>
      <c r="B107" s="40"/>
      <c r="C107" s="40"/>
      <c r="D107" s="40"/>
      <c r="E107" s="40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</row>
    <row r="108" spans="1:126" ht="50" customHeight="1">
      <c r="A108" s="40"/>
      <c r="B108" s="40"/>
      <c r="C108" s="40"/>
      <c r="D108" s="40"/>
      <c r="E108" s="40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</row>
    <row r="109" spans="1:126" ht="50" customHeight="1">
      <c r="A109" s="40"/>
      <c r="B109" s="40"/>
      <c r="C109" s="40"/>
      <c r="D109" s="40"/>
      <c r="E109" s="40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/>
    </row>
    <row r="110" spans="1:126" ht="50" customHeight="1">
      <c r="A110" s="40"/>
      <c r="B110" s="40"/>
      <c r="C110" s="40"/>
      <c r="D110" s="40"/>
      <c r="E110" s="40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</row>
    <row r="111" spans="1:126" ht="50" customHeight="1">
      <c r="A111" s="40"/>
      <c r="B111" s="40"/>
      <c r="C111" s="40"/>
      <c r="D111" s="40"/>
      <c r="E111" s="40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</row>
    <row r="112" spans="1:126" ht="50" customHeight="1">
      <c r="A112" s="40"/>
      <c r="B112" s="40"/>
      <c r="C112" s="40"/>
      <c r="D112" s="40"/>
      <c r="E112" s="40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</row>
    <row r="113" spans="1:126" ht="50" customHeight="1">
      <c r="A113" s="40"/>
      <c r="B113" s="40"/>
      <c r="C113" s="40"/>
      <c r="D113" s="40"/>
      <c r="E113" s="40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</row>
    <row r="114" spans="1:126" ht="50" customHeight="1">
      <c r="A114" s="40"/>
      <c r="B114" s="40"/>
      <c r="C114" s="40"/>
      <c r="D114" s="40"/>
      <c r="E114" s="40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</row>
    <row r="115" spans="1:126" ht="50" customHeight="1">
      <c r="A115" s="40"/>
      <c r="B115" s="40"/>
      <c r="C115" s="40"/>
      <c r="D115" s="40"/>
      <c r="E115" s="40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</row>
    <row r="116" spans="1:126" ht="50" customHeight="1">
      <c r="A116" s="40"/>
      <c r="B116" s="40"/>
      <c r="C116" s="40"/>
      <c r="D116" s="40"/>
      <c r="E116" s="40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</row>
    <row r="117" spans="1:126" ht="50" customHeight="1">
      <c r="A117" s="40"/>
      <c r="B117" s="40"/>
      <c r="C117" s="40"/>
      <c r="D117" s="40"/>
      <c r="E117" s="40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</row>
    <row r="118" spans="1:126" ht="50" customHeight="1">
      <c r="A118" s="40"/>
      <c r="B118" s="40"/>
      <c r="C118" s="40"/>
      <c r="D118" s="40"/>
      <c r="E118" s="40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</row>
    <row r="119" spans="1:126" ht="50" customHeight="1">
      <c r="A119" s="40"/>
      <c r="B119" s="40"/>
      <c r="C119" s="40"/>
      <c r="D119" s="40"/>
      <c r="E119" s="40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</row>
    <row r="120" spans="1:126" ht="50" customHeight="1">
      <c r="A120" s="40"/>
      <c r="B120" s="40"/>
      <c r="C120" s="40"/>
      <c r="D120" s="40"/>
      <c r="E120" s="40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</row>
    <row r="121" spans="1:126" ht="50" customHeight="1">
      <c r="A121" s="40"/>
      <c r="B121" s="40"/>
      <c r="C121" s="40"/>
      <c r="D121" s="40"/>
      <c r="E121" s="40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</row>
    <row r="122" spans="1:126" ht="50" customHeight="1">
      <c r="A122" s="40"/>
      <c r="B122" s="40"/>
      <c r="C122" s="40"/>
      <c r="D122" s="40"/>
      <c r="E122" s="40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</row>
    <row r="123" spans="1:126" ht="50" customHeight="1">
      <c r="A123" s="40"/>
      <c r="B123" s="40"/>
      <c r="C123" s="40"/>
      <c r="D123" s="40"/>
      <c r="E123" s="40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</row>
    <row r="124" spans="1:126" ht="50" customHeight="1">
      <c r="A124" s="40"/>
      <c r="B124" s="40"/>
      <c r="C124" s="40"/>
      <c r="D124" s="40"/>
      <c r="E124" s="40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</row>
    <row r="125" spans="1:126" ht="50" customHeight="1">
      <c r="A125" s="40"/>
      <c r="B125" s="40"/>
      <c r="C125" s="40"/>
      <c r="D125" s="40"/>
      <c r="E125" s="40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</row>
    <row r="126" spans="1:126" ht="50" customHeight="1">
      <c r="A126" s="40"/>
      <c r="B126" s="40"/>
      <c r="C126" s="40"/>
      <c r="D126" s="40"/>
      <c r="E126" s="40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</row>
    <row r="127" spans="1:126" ht="50" customHeight="1">
      <c r="A127" s="40"/>
      <c r="B127" s="40"/>
      <c r="C127" s="40"/>
      <c r="D127" s="40"/>
      <c r="E127" s="40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</row>
    <row r="128" spans="1:126" ht="50" customHeight="1">
      <c r="A128" s="40"/>
      <c r="B128" s="40"/>
      <c r="C128" s="40"/>
      <c r="D128" s="40"/>
      <c r="E128" s="40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</row>
    <row r="129" spans="1:126" ht="50" customHeight="1">
      <c r="A129" s="40"/>
      <c r="B129" s="40"/>
      <c r="C129" s="40"/>
      <c r="D129" s="40"/>
      <c r="E129" s="40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</row>
  </sheetData>
  <mergeCells count="1">
    <mergeCell ref="A1:W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87DB0-5174-E04A-BB02-EC2C4AAC3CFB}">
  <sheetPr codeName="Sheet4"/>
  <dimension ref="D1:AB13"/>
  <sheetViews>
    <sheetView zoomScale="92" zoomScaleNormal="75" workbookViewId="0">
      <selection activeCell="K3" sqref="K3:Q13"/>
    </sheetView>
  </sheetViews>
  <sheetFormatPr baseColWidth="10" defaultColWidth="8.33203125" defaultRowHeight="50" customHeight="1"/>
  <cols>
    <col min="1" max="16384" width="8.33203125" style="74"/>
  </cols>
  <sheetData>
    <row r="1" spans="4:28" ht="50" customHeight="1" thickBot="1"/>
    <row r="2" spans="4:28" ht="50" customHeight="1" thickBot="1">
      <c r="D2" s="152" t="s">
        <v>34</v>
      </c>
      <c r="E2" s="153"/>
      <c r="F2" s="153"/>
      <c r="G2" s="154"/>
      <c r="K2" s="152" t="s">
        <v>39</v>
      </c>
      <c r="L2" s="153"/>
      <c r="M2" s="153"/>
      <c r="N2" s="154"/>
      <c r="O2" s="79" t="b">
        <v>1</v>
      </c>
      <c r="P2" s="80" t="b">
        <v>0</v>
      </c>
      <c r="R2" s="166" t="s">
        <v>41</v>
      </c>
      <c r="S2" s="167"/>
      <c r="T2" s="167"/>
      <c r="U2" s="168"/>
    </row>
    <row r="3" spans="4:28" ht="50" customHeight="1">
      <c r="D3" s="157" t="s">
        <v>47</v>
      </c>
      <c r="E3" s="158"/>
      <c r="F3" s="158"/>
      <c r="G3" s="158"/>
      <c r="H3" s="148"/>
      <c r="I3" s="149"/>
      <c r="K3" s="162" t="s">
        <v>40</v>
      </c>
      <c r="L3" s="163"/>
      <c r="M3" s="163"/>
      <c r="N3" s="163"/>
      <c r="O3" s="70"/>
      <c r="P3" s="68"/>
      <c r="Q3" s="77">
        <v>2</v>
      </c>
      <c r="R3" s="169" t="s">
        <v>42</v>
      </c>
      <c r="S3" s="170"/>
      <c r="T3" s="170"/>
      <c r="U3" s="170"/>
      <c r="V3" s="75">
        <v>3</v>
      </c>
      <c r="Z3" s="78"/>
      <c r="AA3" s="78"/>
      <c r="AB3" s="78"/>
    </row>
    <row r="4" spans="4:28" ht="50" customHeight="1">
      <c r="D4" s="155" t="s">
        <v>48</v>
      </c>
      <c r="E4" s="156"/>
      <c r="F4" s="156"/>
      <c r="G4" s="156"/>
      <c r="H4" s="150"/>
      <c r="I4" s="151"/>
      <c r="K4" s="164"/>
      <c r="L4" s="165"/>
      <c r="M4" s="165"/>
      <c r="N4" s="165"/>
      <c r="O4" s="70"/>
      <c r="P4" s="68"/>
      <c r="Q4" s="77"/>
      <c r="R4" s="171" t="s">
        <v>43</v>
      </c>
      <c r="S4" s="172"/>
      <c r="T4" s="172"/>
      <c r="U4" s="172"/>
      <c r="V4" s="76">
        <v>3</v>
      </c>
    </row>
    <row r="5" spans="4:28" ht="50" customHeight="1">
      <c r="D5" s="155" t="s">
        <v>36</v>
      </c>
      <c r="E5" s="156"/>
      <c r="F5" s="156"/>
      <c r="G5" s="156"/>
      <c r="H5" s="146"/>
      <c r="I5" s="147"/>
      <c r="K5" s="164"/>
      <c r="L5" s="165"/>
      <c r="M5" s="165"/>
      <c r="N5" s="165"/>
      <c r="O5" s="70"/>
      <c r="P5" s="68"/>
      <c r="Q5" s="77"/>
      <c r="R5" s="171" t="s">
        <v>44</v>
      </c>
      <c r="S5" s="172"/>
      <c r="T5" s="172"/>
      <c r="U5" s="172"/>
      <c r="V5" s="76">
        <v>5</v>
      </c>
    </row>
    <row r="6" spans="4:28" ht="50" customHeight="1">
      <c r="D6" s="155" t="s">
        <v>46</v>
      </c>
      <c r="E6" s="159"/>
      <c r="F6" s="159"/>
      <c r="G6" s="159"/>
      <c r="H6" s="173"/>
      <c r="I6" s="174"/>
      <c r="K6" s="69"/>
      <c r="L6" s="70"/>
      <c r="M6" s="70"/>
      <c r="N6" s="70"/>
      <c r="O6" s="70"/>
      <c r="P6" s="68"/>
      <c r="Q6" s="77"/>
      <c r="R6" s="171" t="s">
        <v>45</v>
      </c>
      <c r="S6" s="172"/>
      <c r="T6" s="172"/>
      <c r="U6" s="172"/>
      <c r="V6" s="76">
        <v>32</v>
      </c>
    </row>
    <row r="7" spans="4:28" ht="50" customHeight="1">
      <c r="D7" s="155" t="s">
        <v>37</v>
      </c>
      <c r="E7" s="159"/>
      <c r="F7" s="159"/>
      <c r="G7" s="159"/>
      <c r="H7" s="177"/>
      <c r="I7" s="178"/>
      <c r="K7" s="69"/>
      <c r="L7" s="70"/>
      <c r="M7" s="70"/>
      <c r="N7" s="70"/>
      <c r="O7" s="70"/>
      <c r="P7" s="68"/>
      <c r="Q7" s="77"/>
      <c r="R7" s="175"/>
      <c r="S7" s="176"/>
      <c r="T7" s="176"/>
      <c r="U7" s="176"/>
      <c r="V7" s="76"/>
    </row>
    <row r="8" spans="4:28" ht="50" customHeight="1">
      <c r="D8" s="155" t="s">
        <v>38</v>
      </c>
      <c r="E8" s="159"/>
      <c r="F8" s="159"/>
      <c r="G8" s="159"/>
      <c r="H8" s="179"/>
      <c r="I8" s="180"/>
      <c r="K8" s="69"/>
      <c r="L8" s="70"/>
      <c r="M8" s="70"/>
      <c r="N8" s="70"/>
      <c r="O8" s="70"/>
      <c r="P8" s="68"/>
      <c r="Q8" s="77"/>
      <c r="R8" s="175"/>
      <c r="S8" s="176"/>
      <c r="T8" s="176"/>
      <c r="U8" s="176"/>
      <c r="V8" s="76"/>
    </row>
    <row r="9" spans="4:28" ht="50" customHeight="1">
      <c r="D9" s="155" t="s">
        <v>35</v>
      </c>
      <c r="E9" s="159"/>
      <c r="F9" s="159"/>
      <c r="G9" s="159"/>
      <c r="H9" s="181"/>
      <c r="I9" s="182"/>
      <c r="K9" s="69"/>
      <c r="L9" s="70"/>
      <c r="M9" s="70"/>
      <c r="N9" s="70"/>
      <c r="O9" s="70"/>
      <c r="P9" s="68"/>
      <c r="Q9" s="77"/>
      <c r="R9" s="175"/>
      <c r="S9" s="176"/>
      <c r="T9" s="176"/>
      <c r="U9" s="176"/>
      <c r="V9" s="76"/>
    </row>
    <row r="10" spans="4:28" ht="50" customHeight="1">
      <c r="D10" s="160"/>
      <c r="E10" s="161"/>
      <c r="F10" s="161"/>
      <c r="G10" s="161"/>
      <c r="H10" s="146"/>
      <c r="I10" s="147"/>
      <c r="K10" s="69"/>
      <c r="L10" s="70"/>
      <c r="M10" s="70"/>
      <c r="N10" s="70"/>
      <c r="O10" s="70"/>
      <c r="P10" s="68"/>
      <c r="Q10" s="77"/>
      <c r="R10" s="175"/>
      <c r="S10" s="176"/>
      <c r="T10" s="176"/>
      <c r="U10" s="176"/>
      <c r="V10" s="76"/>
    </row>
    <row r="11" spans="4:28" ht="50" customHeight="1">
      <c r="D11" s="160"/>
      <c r="E11" s="161"/>
      <c r="F11" s="161"/>
      <c r="G11" s="161"/>
      <c r="H11" s="146"/>
      <c r="I11" s="147"/>
      <c r="K11" s="69"/>
      <c r="L11" s="70"/>
      <c r="M11" s="70"/>
      <c r="N11" s="70"/>
      <c r="O11" s="70"/>
      <c r="P11" s="68"/>
      <c r="Q11" s="77"/>
      <c r="R11" s="69"/>
      <c r="S11" s="70"/>
      <c r="T11" s="70"/>
      <c r="U11" s="70"/>
      <c r="V11" s="68"/>
    </row>
    <row r="12" spans="4:28" ht="50" customHeight="1">
      <c r="D12" s="69"/>
      <c r="E12" s="70"/>
      <c r="F12" s="70"/>
      <c r="G12" s="70"/>
      <c r="H12" s="70"/>
      <c r="I12" s="68"/>
      <c r="K12" s="69"/>
      <c r="L12" s="70"/>
      <c r="M12" s="70"/>
      <c r="N12" s="70"/>
      <c r="O12" s="70"/>
      <c r="P12" s="68"/>
      <c r="Q12" s="77"/>
      <c r="R12" s="69"/>
      <c r="S12" s="70"/>
      <c r="T12" s="70"/>
      <c r="U12" s="70"/>
      <c r="V12" s="68"/>
    </row>
    <row r="13" spans="4:28" ht="50" customHeight="1" thickBot="1">
      <c r="D13" s="71"/>
      <c r="E13" s="72"/>
      <c r="F13" s="72"/>
      <c r="G13" s="72"/>
      <c r="H13" s="72"/>
      <c r="I13" s="73"/>
      <c r="K13" s="71"/>
      <c r="L13" s="72"/>
      <c r="M13" s="72"/>
      <c r="N13" s="72"/>
      <c r="O13" s="72"/>
      <c r="P13" s="73"/>
      <c r="Q13" s="77"/>
      <c r="R13" s="71"/>
      <c r="S13" s="72"/>
      <c r="T13" s="72"/>
      <c r="U13" s="72"/>
      <c r="V13" s="73"/>
    </row>
  </sheetData>
  <mergeCells count="32">
    <mergeCell ref="H8:I8"/>
    <mergeCell ref="H9:I9"/>
    <mergeCell ref="H10:I10"/>
    <mergeCell ref="R10:U10"/>
    <mergeCell ref="K5:N5"/>
    <mergeCell ref="R5:U5"/>
    <mergeCell ref="R6:U6"/>
    <mergeCell ref="R7:U7"/>
    <mergeCell ref="R8:U8"/>
    <mergeCell ref="R9:U9"/>
    <mergeCell ref="K2:N2"/>
    <mergeCell ref="K3:N3"/>
    <mergeCell ref="K4:N4"/>
    <mergeCell ref="R2:U2"/>
    <mergeCell ref="R3:U3"/>
    <mergeCell ref="R4:U4"/>
    <mergeCell ref="H11:I11"/>
    <mergeCell ref="H3:I3"/>
    <mergeCell ref="H4:I4"/>
    <mergeCell ref="D2:G2"/>
    <mergeCell ref="H5:I5"/>
    <mergeCell ref="D4:G4"/>
    <mergeCell ref="D5:G5"/>
    <mergeCell ref="D3:G3"/>
    <mergeCell ref="D7:G7"/>
    <mergeCell ref="D8:G8"/>
    <mergeCell ref="D9:G9"/>
    <mergeCell ref="D10:G10"/>
    <mergeCell ref="D11:G11"/>
    <mergeCell ref="D6:G6"/>
    <mergeCell ref="H6:I6"/>
    <mergeCell ref="H7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3" name="Option Button 1_1">
              <controlPr defaultSize="0" autoFill="0" autoLine="0" autoPict="0">
                <anchor moveWithCells="1">
                  <from>
                    <xdr:col>14</xdr:col>
                    <xdr:colOff>190500</xdr:colOff>
                    <xdr:row>2</xdr:row>
                    <xdr:rowOff>38100</xdr:rowOff>
                  </from>
                  <to>
                    <xdr:col>14</xdr:col>
                    <xdr:colOff>609600</xdr:colOff>
                    <xdr:row>2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4" name="Option Button 1_2">
              <controlPr defaultSize="0" autoFill="0" autoLine="0" autoPict="0">
                <anchor moveWithCells="1">
                  <from>
                    <xdr:col>15</xdr:col>
                    <xdr:colOff>190500</xdr:colOff>
                    <xdr:row>2</xdr:row>
                    <xdr:rowOff>38100</xdr:rowOff>
                  </from>
                  <to>
                    <xdr:col>15</xdr:col>
                    <xdr:colOff>622300</xdr:colOff>
                    <xdr:row>2</xdr:row>
                    <xdr:rowOff>622300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5F132-5463-A745-866B-18DA97F68A82}">
  <sheetPr codeName="Sheet3"/>
  <dimension ref="B1:N21"/>
  <sheetViews>
    <sheetView topLeftCell="B1" zoomScale="170" workbookViewId="0">
      <selection activeCell="L7" sqref="L7"/>
    </sheetView>
  </sheetViews>
  <sheetFormatPr baseColWidth="10" defaultColWidth="6.6640625" defaultRowHeight="40" customHeight="1"/>
  <cols>
    <col min="14" max="14" width="8.33203125" bestFit="1" customWidth="1"/>
  </cols>
  <sheetData>
    <row r="1" spans="2:14" ht="40" customHeight="1">
      <c r="B1">
        <v>2</v>
      </c>
    </row>
    <row r="2" spans="2:14" ht="40" customHeight="1">
      <c r="B2">
        <v>2</v>
      </c>
    </row>
    <row r="3" spans="2:14" ht="40" customHeight="1">
      <c r="B3">
        <v>2</v>
      </c>
      <c r="G3">
        <v>2</v>
      </c>
      <c r="I3">
        <v>2</v>
      </c>
      <c r="K3">
        <v>2</v>
      </c>
    </row>
    <row r="4" spans="2:14" ht="40" customHeight="1">
      <c r="B4">
        <v>2</v>
      </c>
      <c r="N4">
        <f t="array" ref="N4">COUNT(IF(IF(MOD(COLUMN(G3:L3)+1,2)=0,G3:L3,0)=2,G3:L3,""))</f>
        <v>3</v>
      </c>
    </row>
    <row r="5" spans="2:14" ht="40" customHeight="1">
      <c r="B5">
        <v>2</v>
      </c>
      <c r="G5">
        <v>2</v>
      </c>
      <c r="H5">
        <v>1</v>
      </c>
      <c r="I5">
        <v>1</v>
      </c>
      <c r="J5">
        <v>1</v>
      </c>
      <c r="K5">
        <v>1</v>
      </c>
      <c r="L5">
        <v>1</v>
      </c>
    </row>
    <row r="6" spans="2:14" ht="40" customHeight="1">
      <c r="B6">
        <v>2</v>
      </c>
      <c r="F6" s="42"/>
      <c r="G6">
        <f t="shared" ref="G6:L6" si="0">MOD(COLUMN(G5)+1,2)</f>
        <v>0</v>
      </c>
      <c r="H6">
        <f t="shared" si="0"/>
        <v>1</v>
      </c>
      <c r="I6">
        <f t="shared" si="0"/>
        <v>0</v>
      </c>
      <c r="J6">
        <f t="shared" si="0"/>
        <v>1</v>
      </c>
      <c r="K6">
        <f t="shared" si="0"/>
        <v>0</v>
      </c>
      <c r="L6">
        <f t="shared" si="0"/>
        <v>1</v>
      </c>
    </row>
    <row r="7" spans="2:14" ht="40" customHeight="1">
      <c r="B7">
        <v>2</v>
      </c>
      <c r="G7">
        <f t="shared" ref="G7:L7" si="1">COUNT(IF(G6 = 0,G5,""))</f>
        <v>1</v>
      </c>
      <c r="H7">
        <f t="shared" si="1"/>
        <v>0</v>
      </c>
      <c r="I7">
        <f t="shared" si="1"/>
        <v>1</v>
      </c>
      <c r="J7">
        <f t="shared" si="1"/>
        <v>0</v>
      </c>
      <c r="K7">
        <f t="shared" si="1"/>
        <v>1</v>
      </c>
      <c r="L7">
        <f t="shared" si="1"/>
        <v>0</v>
      </c>
    </row>
    <row r="8" spans="2:14" ht="40" customHeight="1">
      <c r="B8">
        <v>2</v>
      </c>
    </row>
    <row r="9" spans="2:14" ht="40" customHeight="1">
      <c r="B9">
        <v>2</v>
      </c>
    </row>
    <row r="10" spans="2:14" ht="40" customHeight="1">
      <c r="B10">
        <v>2</v>
      </c>
      <c r="F10">
        <v>1</v>
      </c>
      <c r="G10">
        <v>10</v>
      </c>
      <c r="H10">
        <v>2</v>
      </c>
      <c r="I10">
        <v>10</v>
      </c>
      <c r="J10">
        <v>10</v>
      </c>
      <c r="K10">
        <v>3</v>
      </c>
      <c r="L10">
        <v>10</v>
      </c>
      <c r="M10">
        <v>10</v>
      </c>
      <c r="N10">
        <v>4</v>
      </c>
    </row>
    <row r="11" spans="2:14" ht="40" customHeight="1">
      <c r="B11">
        <v>2</v>
      </c>
    </row>
    <row r="12" spans="2:14" ht="40" customHeight="1">
      <c r="B12">
        <v>2</v>
      </c>
    </row>
    <row r="13" spans="2:14" ht="40" customHeight="1">
      <c r="B13">
        <v>2</v>
      </c>
    </row>
    <row r="14" spans="2:14" ht="40" customHeight="1">
      <c r="B14">
        <v>2</v>
      </c>
    </row>
    <row r="15" spans="2:14" ht="40" customHeight="1">
      <c r="B15">
        <v>2</v>
      </c>
    </row>
    <row r="16" spans="2:14" ht="40" customHeight="1">
      <c r="B16">
        <v>2</v>
      </c>
    </row>
    <row r="17" spans="2:2" ht="40" customHeight="1">
      <c r="B17">
        <v>2</v>
      </c>
    </row>
    <row r="18" spans="2:2" ht="40" customHeight="1">
      <c r="B18">
        <v>2</v>
      </c>
    </row>
    <row r="19" spans="2:2" ht="40" customHeight="1">
      <c r="B19">
        <v>2</v>
      </c>
    </row>
    <row r="20" spans="2:2" ht="40" customHeight="1">
      <c r="B20">
        <v>2</v>
      </c>
    </row>
    <row r="21" spans="2:2" ht="40" customHeight="1">
      <c r="B2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Groupstage</vt:lpstr>
      <vt:lpstr>Mainstage</vt:lpstr>
      <vt:lpstr>Preferences</vt:lpstr>
      <vt:lpstr>Sheet1</vt:lpstr>
      <vt:lpstr>Adjusted_Standings</vt:lpstr>
      <vt:lpstr>BoolOptions</vt:lpstr>
      <vt:lpstr>ColorOptions</vt:lpstr>
      <vt:lpstr>Parts</vt:lpstr>
      <vt:lpstr>Points</vt:lpstr>
      <vt:lpstr>Standings</vt:lpstr>
      <vt:lpstr>ValueOptions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Haakon Hafsahl Svane</dc:creator>
  <cp:lastModifiedBy>Haakon Hafsahl Svane</cp:lastModifiedBy>
  <dcterms:created xsi:type="dcterms:W3CDTF">2019-04-27T23:35:56Z</dcterms:created>
  <dcterms:modified xsi:type="dcterms:W3CDTF">2020-05-04T00:06:06Z</dcterms:modified>
</cp:coreProperties>
</file>